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8635" windowHeight="14460"/>
  </bookViews>
  <sheets>
    <sheet name="南京上海天津武汉" sheetId="1" r:id="rId1"/>
    <sheet name="Sheet2" sheetId="2" state="hidden" r:id="rId2"/>
  </sheets>
  <calcPr calcId="145621"/>
</workbook>
</file>

<file path=xl/calcChain.xml><?xml version="1.0" encoding="utf-8"?>
<calcChain xmlns="http://schemas.openxmlformats.org/spreadsheetml/2006/main">
  <c r="L49" i="1" l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U42" i="1" l="1"/>
  <c r="T42" i="1"/>
  <c r="S42" i="1"/>
  <c r="R42" i="1"/>
  <c r="U41" i="1"/>
  <c r="T41" i="1"/>
  <c r="S41" i="1"/>
  <c r="R41" i="1"/>
  <c r="U40" i="1"/>
  <c r="T40" i="1"/>
  <c r="S40" i="1"/>
  <c r="R40" i="1"/>
  <c r="U39" i="1"/>
  <c r="T39" i="1"/>
  <c r="S39" i="1"/>
  <c r="R39" i="1"/>
  <c r="U38" i="1"/>
  <c r="T38" i="1"/>
  <c r="S38" i="1"/>
  <c r="R38" i="1"/>
  <c r="U37" i="1"/>
  <c r="T37" i="1"/>
  <c r="S37" i="1"/>
  <c r="R37" i="1"/>
  <c r="U36" i="1"/>
  <c r="T36" i="1"/>
  <c r="S36" i="1"/>
  <c r="R36" i="1"/>
  <c r="U35" i="1"/>
  <c r="T35" i="1"/>
  <c r="S35" i="1"/>
  <c r="R35" i="1"/>
  <c r="U34" i="1"/>
  <c r="T34" i="1"/>
  <c r="S34" i="1"/>
  <c r="R34" i="1"/>
  <c r="U33" i="1"/>
  <c r="T33" i="1"/>
  <c r="S33" i="1"/>
  <c r="R33" i="1"/>
  <c r="U32" i="1"/>
  <c r="T32" i="1"/>
  <c r="S32" i="1"/>
  <c r="R32" i="1"/>
  <c r="U31" i="1"/>
  <c r="T31" i="1"/>
  <c r="S31" i="1"/>
  <c r="R31" i="1"/>
  <c r="U30" i="1"/>
  <c r="T30" i="1"/>
  <c r="S30" i="1"/>
  <c r="R30" i="1"/>
  <c r="U29" i="1"/>
  <c r="T29" i="1"/>
  <c r="S29" i="1"/>
  <c r="R29" i="1"/>
  <c r="U28" i="1"/>
  <c r="T28" i="1"/>
  <c r="S28" i="1"/>
  <c r="R28" i="1"/>
  <c r="U27" i="1"/>
  <c r="T27" i="1"/>
  <c r="S27" i="1"/>
  <c r="R27" i="1"/>
  <c r="U26" i="1"/>
  <c r="T26" i="1"/>
  <c r="S26" i="1"/>
  <c r="R26" i="1"/>
  <c r="U25" i="1"/>
  <c r="T25" i="1"/>
  <c r="S25" i="1"/>
  <c r="R25" i="1"/>
  <c r="U23" i="1"/>
  <c r="T23" i="1"/>
  <c r="S23" i="1"/>
  <c r="R23" i="1"/>
  <c r="U22" i="1"/>
  <c r="T22" i="1"/>
  <c r="S22" i="1"/>
  <c r="R22" i="1"/>
  <c r="U21" i="1"/>
  <c r="T21" i="1"/>
  <c r="S21" i="1"/>
  <c r="R21" i="1"/>
  <c r="U20" i="1"/>
  <c r="T20" i="1"/>
  <c r="S20" i="1"/>
  <c r="R20" i="1"/>
  <c r="U19" i="1"/>
  <c r="T19" i="1"/>
  <c r="S19" i="1"/>
  <c r="R19" i="1"/>
  <c r="U18" i="1"/>
  <c r="T18" i="1"/>
  <c r="S18" i="1"/>
  <c r="R18" i="1"/>
  <c r="U16" i="1"/>
  <c r="T16" i="1"/>
  <c r="S16" i="1"/>
  <c r="R16" i="1"/>
  <c r="U15" i="1"/>
  <c r="T15" i="1"/>
  <c r="S15" i="1"/>
  <c r="R15" i="1"/>
  <c r="U14" i="1"/>
  <c r="T14" i="1"/>
  <c r="S14" i="1"/>
  <c r="R14" i="1"/>
  <c r="U13" i="1"/>
  <c r="T13" i="1"/>
  <c r="S13" i="1"/>
  <c r="R13" i="1"/>
  <c r="Y5" i="1" l="1"/>
  <c r="Y4" i="1"/>
  <c r="Y3" i="1"/>
  <c r="Y2" i="1"/>
  <c r="I16" i="1" l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2" i="1"/>
  <c r="K21" i="1"/>
  <c r="K20" i="1"/>
  <c r="K19" i="1"/>
  <c r="K18" i="1"/>
  <c r="M16" i="1"/>
  <c r="M15" i="1"/>
  <c r="M14" i="1"/>
  <c r="M13" i="1"/>
  <c r="I47" i="1"/>
  <c r="I46" i="1"/>
  <c r="I45" i="1"/>
  <c r="I44" i="1"/>
  <c r="I43" i="1"/>
  <c r="I24" i="1"/>
  <c r="I15" i="1"/>
  <c r="I14" i="1"/>
  <c r="I13" i="1"/>
  <c r="K49" i="1" l="1"/>
  <c r="K48" i="1"/>
  <c r="P22" i="1"/>
  <c r="P21" i="1"/>
  <c r="P20" i="1"/>
  <c r="P19" i="1"/>
  <c r="P18" i="1"/>
  <c r="G12" i="1"/>
  <c r="G10" i="1"/>
  <c r="G6" i="1"/>
  <c r="G4" i="1"/>
  <c r="M21" i="1" l="1"/>
  <c r="I21" i="1"/>
  <c r="I48" i="1"/>
  <c r="M48" i="1"/>
  <c r="I31" i="1"/>
  <c r="M31" i="1"/>
  <c r="I49" i="1"/>
  <c r="M49" i="1"/>
  <c r="M39" i="1"/>
  <c r="I39" i="1"/>
  <c r="G50" i="1"/>
  <c r="P24" i="1" s="1"/>
  <c r="P23" i="1"/>
  <c r="P15" i="1"/>
  <c r="P16" i="1"/>
  <c r="P14" i="1"/>
  <c r="P17" i="1"/>
  <c r="M40" i="1" l="1"/>
  <c r="I40" i="1"/>
  <c r="M25" i="1"/>
  <c r="I25" i="1"/>
  <c r="M32" i="1"/>
  <c r="I32" i="1"/>
  <c r="M38" i="1"/>
  <c r="I38" i="1"/>
  <c r="I28" i="1"/>
  <c r="M28" i="1"/>
  <c r="I29" i="1"/>
  <c r="M29" i="1"/>
  <c r="I34" i="1"/>
  <c r="M34" i="1"/>
  <c r="M22" i="1"/>
  <c r="I22" i="1"/>
  <c r="I20" i="1"/>
  <c r="M20" i="1"/>
  <c r="M33" i="1"/>
  <c r="I33" i="1"/>
  <c r="I36" i="1"/>
  <c r="M36" i="1"/>
  <c r="M42" i="1"/>
  <c r="I42" i="1"/>
  <c r="I30" i="1"/>
  <c r="M30" i="1"/>
  <c r="I19" i="1"/>
  <c r="M19" i="1"/>
  <c r="I35" i="1"/>
  <c r="M35" i="1"/>
  <c r="M26" i="1"/>
  <c r="I26" i="1"/>
  <c r="I18" i="1"/>
  <c r="M18" i="1"/>
  <c r="M27" i="1"/>
  <c r="I27" i="1"/>
  <c r="I37" i="1"/>
  <c r="M37" i="1"/>
  <c r="M41" i="1"/>
  <c r="I41" i="1"/>
  <c r="K23" i="1"/>
  <c r="M23" i="1" l="1"/>
  <c r="I23" i="1"/>
</calcChain>
</file>

<file path=xl/sharedStrings.xml><?xml version="1.0" encoding="utf-8"?>
<sst xmlns="http://schemas.openxmlformats.org/spreadsheetml/2006/main" count="410" uniqueCount="141">
  <si>
    <t>银行卡受理终端数量采集表单2</t>
  </si>
  <si>
    <t>期数</t>
  </si>
  <si>
    <t>地区类型</t>
  </si>
  <si>
    <t>CITY</t>
  </si>
  <si>
    <t>地区代码</t>
  </si>
  <si>
    <t>序号</t>
  </si>
  <si>
    <t>指标代码</t>
  </si>
  <si>
    <t>维度代码</t>
  </si>
  <si>
    <t>维度名称</t>
  </si>
  <si>
    <t>指标名称</t>
  </si>
  <si>
    <t>数据类型</t>
  </si>
  <si>
    <t>值1</t>
  </si>
  <si>
    <t>值2</t>
  </si>
  <si>
    <t>4031900001</t>
  </si>
  <si>
    <t>01</t>
  </si>
  <si>
    <t>总量</t>
  </si>
  <si>
    <t>银行卡受理终端数量</t>
  </si>
  <si>
    <t>数量(个)</t>
  </si>
  <si>
    <t>******</t>
  </si>
  <si>
    <t>A1</t>
  </si>
  <si>
    <t>按终端类型</t>
  </si>
  <si>
    <t>ATM数量</t>
  </si>
  <si>
    <t>A2</t>
  </si>
  <si>
    <t>POS数量</t>
  </si>
  <si>
    <t>A3</t>
  </si>
  <si>
    <t>I型电话支付终端数量</t>
  </si>
  <si>
    <t>A4</t>
  </si>
  <si>
    <t>II型电话支付终端数量</t>
  </si>
  <si>
    <t>A5</t>
  </si>
  <si>
    <t>数字机顶盒数量</t>
  </si>
  <si>
    <t>B1</t>
  </si>
  <si>
    <t>按受理卡片介质</t>
  </si>
  <si>
    <t>可受理金融IC卡</t>
  </si>
  <si>
    <t>B2</t>
  </si>
  <si>
    <t>不可受理金融IC卡</t>
  </si>
  <si>
    <t>4031902001</t>
  </si>
  <si>
    <t>POS机具数量</t>
  </si>
  <si>
    <t>大类数</t>
  </si>
  <si>
    <t>比例</t>
  </si>
  <si>
    <t>按商户大类</t>
  </si>
  <si>
    <t>餐娱类POS机具数量</t>
  </si>
  <si>
    <t>一般类POS机具数量</t>
  </si>
  <si>
    <t>民生类POS机具数量</t>
  </si>
  <si>
    <t>公益类POS机具数量</t>
  </si>
  <si>
    <t>其他类POS机具数量</t>
  </si>
  <si>
    <t>按商户细类</t>
  </si>
  <si>
    <t>宾馆类POS机具数量</t>
  </si>
  <si>
    <t>餐饮类POS机具数量</t>
  </si>
  <si>
    <t>B3</t>
  </si>
  <si>
    <t>珠宝、工艺类POS机具数量</t>
  </si>
  <si>
    <t>B4</t>
  </si>
  <si>
    <t>娱乐类POS机具数量</t>
  </si>
  <si>
    <t>B5</t>
  </si>
  <si>
    <t>房地产类POS机具数量</t>
  </si>
  <si>
    <t>B6</t>
  </si>
  <si>
    <t>汽车销售类POS机具数量</t>
  </si>
  <si>
    <t>B7</t>
  </si>
  <si>
    <t>典当拍卖信托类POS机具数量</t>
  </si>
  <si>
    <t>B8</t>
  </si>
  <si>
    <t>旅游售票类POS机具数量</t>
  </si>
  <si>
    <t>B9</t>
  </si>
  <si>
    <t>日用百货类POS机具数量</t>
  </si>
  <si>
    <t>BA</t>
  </si>
  <si>
    <t>医疗、烟酒类POS机具数量</t>
  </si>
  <si>
    <t>BB</t>
  </si>
  <si>
    <t>一般服务类POS机具数量</t>
  </si>
  <si>
    <t>BC</t>
  </si>
  <si>
    <t>专业服务类POS机具数量</t>
  </si>
  <si>
    <t>BD</t>
  </si>
  <si>
    <t>一般票据类POS机具数量</t>
  </si>
  <si>
    <t>BE</t>
  </si>
  <si>
    <t>批发类POS机具数量</t>
  </si>
  <si>
    <t>BF</t>
  </si>
  <si>
    <t>加油类POS机具数量</t>
  </si>
  <si>
    <t>BG</t>
  </si>
  <si>
    <t>超市类POS机具数量</t>
  </si>
  <si>
    <t>BH</t>
  </si>
  <si>
    <t>大型家电专卖类POS机具数量</t>
  </si>
  <si>
    <t>BI</t>
  </si>
  <si>
    <t>航空售票类POS机具数量</t>
  </si>
  <si>
    <t>BJ</t>
  </si>
  <si>
    <t>铁路售票类POS机具数量</t>
  </si>
  <si>
    <t>BK</t>
  </si>
  <si>
    <t>其他客运类POS机具数量</t>
  </si>
  <si>
    <t>BL</t>
  </si>
  <si>
    <t>电信电视缴费类POS机具数量</t>
  </si>
  <si>
    <t>BM</t>
  </si>
  <si>
    <t>保险类POS机具数量</t>
  </si>
  <si>
    <t>BN</t>
  </si>
  <si>
    <t>公共事业类POS机具数量</t>
  </si>
  <si>
    <t>BO</t>
  </si>
  <si>
    <t>政府类POS机具数量</t>
  </si>
  <si>
    <t>BP</t>
  </si>
  <si>
    <t>便民类POS机具数量</t>
  </si>
  <si>
    <t>BQ</t>
  </si>
  <si>
    <t>公立医院类POS机具数量</t>
  </si>
  <si>
    <t>BR</t>
  </si>
  <si>
    <t>公共学校类POS机具数量</t>
  </si>
  <si>
    <t>BS</t>
  </si>
  <si>
    <t>慈善与社会服务类POS机具数量</t>
  </si>
  <si>
    <t>BT</t>
  </si>
  <si>
    <t>特殊类POS机具数量</t>
  </si>
  <si>
    <t>BU</t>
  </si>
  <si>
    <t>C1</t>
  </si>
  <si>
    <t>按通讯方式</t>
  </si>
  <si>
    <t>固定POS</t>
  </si>
  <si>
    <t>C2</t>
  </si>
  <si>
    <t>移动POS</t>
  </si>
  <si>
    <t>D1</t>
  </si>
  <si>
    <t>D2</t>
  </si>
  <si>
    <t>4031903001</t>
  </si>
  <si>
    <t>ATM机具数量</t>
  </si>
  <si>
    <t>4031904001</t>
  </si>
  <si>
    <t>电话支付终端数量</t>
  </si>
  <si>
    <t>4031905001</t>
  </si>
  <si>
    <t>电子现金受理终端</t>
  </si>
  <si>
    <t>现金充值终端</t>
  </si>
  <si>
    <t>圈存终端</t>
  </si>
  <si>
    <t>圈提终端</t>
  </si>
  <si>
    <t>小额快速支付终端</t>
  </si>
  <si>
    <t>南京市</t>
  </si>
  <si>
    <t>上海市</t>
  </si>
  <si>
    <t>天津市</t>
  </si>
  <si>
    <t>武汉市</t>
  </si>
  <si>
    <t>南京比例</t>
    <phoneticPr fontId="1" type="noConversion"/>
  </si>
  <si>
    <t>上海比例</t>
    <phoneticPr fontId="1" type="noConversion"/>
  </si>
  <si>
    <t>天津比例</t>
    <phoneticPr fontId="1" type="noConversion"/>
  </si>
  <si>
    <t>武汉比例</t>
    <phoneticPr fontId="1" type="noConversion"/>
  </si>
  <si>
    <t>南京市</t>
    <phoneticPr fontId="1" type="noConversion"/>
  </si>
  <si>
    <t>上海市</t>
    <phoneticPr fontId="1" type="noConversion"/>
  </si>
  <si>
    <t>天津市</t>
    <phoneticPr fontId="1" type="noConversion"/>
  </si>
  <si>
    <t>武汉市</t>
    <phoneticPr fontId="1" type="noConversion"/>
  </si>
  <si>
    <t>南京比例</t>
  </si>
  <si>
    <t>上海比例</t>
  </si>
  <si>
    <t>天津比例</t>
  </si>
  <si>
    <t>武汉比例</t>
  </si>
  <si>
    <t>宝坻区</t>
  </si>
  <si>
    <t>蓟县</t>
  </si>
  <si>
    <t>静海县</t>
  </si>
  <si>
    <t>宁河县</t>
  </si>
  <si>
    <t>武清区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</si>
</sst>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.0000_);[Red]\(0.0000\)"/>
  </numFmts>
  <fonts count="7">
    <font>
      <sz val="9"/>
      <color theme="1"/>
      <name val="宋体"/>
      <family val="2"/>
      <charset val="134"/>
    </font>
    <font>
      <sz val="9"/>
      <name val="宋体"/>
      <family val="2"/>
      <charset val="134"/>
    </font>
    <font>
      <sz val="16"/>
      <name val="黑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9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0" xfId="0" applyAlignment="1"/>
    <xf numFmtId="0" fontId="3" fillId="2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3" borderId="0" xfId="0" applyFill="1">
      <alignment vertical="center"/>
    </xf>
    <xf numFmtId="0" fontId="5" fillId="4" borderId="0" xfId="0" applyFont="1" applyFill="1">
      <alignment vertical="center"/>
    </xf>
    <xf numFmtId="0" fontId="0" fillId="4" borderId="0" xfId="0" applyFill="1">
      <alignment vertical="center"/>
    </xf>
    <xf numFmtId="0" fontId="3" fillId="4" borderId="1" xfId="0" applyFont="1" applyFill="1" applyBorder="1" applyAlignment="1">
      <alignment horizontal="left"/>
    </xf>
    <xf numFmtId="1" fontId="0" fillId="5" borderId="0" xfId="0" applyNumberFormat="1" applyFill="1">
      <alignment vertical="center"/>
    </xf>
    <xf numFmtId="176" fontId="0" fillId="4" borderId="0" xfId="0" applyNumberFormat="1" applyFill="1">
      <alignment vertical="center"/>
    </xf>
    <xf numFmtId="1" fontId="0" fillId="6" borderId="0" xfId="0" applyNumberFormat="1" applyFill="1">
      <alignment vertical="center"/>
    </xf>
    <xf numFmtId="1" fontId="0" fillId="7" borderId="0" xfId="0" applyNumberFormat="1" applyFill="1">
      <alignment vertical="center"/>
    </xf>
    <xf numFmtId="1" fontId="0" fillId="0" borderId="0" xfId="0" applyNumberFormat="1">
      <alignment vertical="center"/>
    </xf>
    <xf numFmtId="176" fontId="3" fillId="5" borderId="1" xfId="0" applyNumberFormat="1" applyFont="1" applyFill="1" applyBorder="1" applyAlignment="1">
      <alignment horizontal="left"/>
    </xf>
    <xf numFmtId="176" fontId="0" fillId="0" borderId="0" xfId="0" applyNumberFormat="1">
      <alignment vertical="center"/>
    </xf>
    <xf numFmtId="0" fontId="0" fillId="5" borderId="0" xfId="0" applyFill="1">
      <alignment vertical="center"/>
    </xf>
    <xf numFmtId="176" fontId="3" fillId="6" borderId="1" xfId="0" applyNumberFormat="1" applyFont="1" applyFill="1" applyBorder="1" applyAlignment="1">
      <alignment horizontal="left"/>
    </xf>
    <xf numFmtId="0" fontId="0" fillId="6" borderId="0" xfId="0" applyFill="1">
      <alignment vertical="center"/>
    </xf>
    <xf numFmtId="176" fontId="3" fillId="7" borderId="1" xfId="0" applyNumberFormat="1" applyFont="1" applyFill="1" applyBorder="1" applyAlignment="1">
      <alignment horizontal="left"/>
    </xf>
    <xf numFmtId="0" fontId="0" fillId="7" borderId="0" xfId="0" applyFill="1">
      <alignment vertical="center"/>
    </xf>
    <xf numFmtId="176" fontId="3" fillId="0" borderId="1" xfId="0" applyNumberFormat="1" applyFont="1" applyBorder="1" applyAlignment="1">
      <alignment horizontal="left"/>
    </xf>
    <xf numFmtId="176" fontId="3" fillId="3" borderId="1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5" borderId="0" xfId="0" applyNumberFormat="1" applyFill="1">
      <alignment vertical="center"/>
    </xf>
    <xf numFmtId="177" fontId="0" fillId="6" borderId="0" xfId="0" applyNumberFormat="1" applyFill="1">
      <alignment vertical="center"/>
    </xf>
    <xf numFmtId="177" fontId="0" fillId="7" borderId="0" xfId="0" applyNumberFormat="1" applyFill="1">
      <alignment vertical="center"/>
    </xf>
    <xf numFmtId="177" fontId="0" fillId="3" borderId="0" xfId="0" applyNumberFormat="1" applyFill="1">
      <alignment vertical="center"/>
    </xf>
    <xf numFmtId="0" fontId="2" fillId="0" borderId="1" xfId="0" applyFont="1" applyBorder="1" applyAlignment="1">
      <alignment horizontal="center"/>
    </xf>
    <xf numFmtId="0" fontId="0" fillId="0" borderId="0" xfId="0" applyAlignment="1"/>
    <xf numFmtId="0" fontId="0" fillId="8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28575</xdr:rowOff>
        </xdr:from>
        <xdr:to>
          <xdr:col>11</xdr:col>
          <xdr:colOff>9525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47625</xdr:rowOff>
        </xdr:from>
        <xdr:to>
          <xdr:col>10</xdr:col>
          <xdr:colOff>838200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number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4"/>
  <sheetViews>
    <sheetView tabSelected="1" topLeftCell="G1" workbookViewId="0">
      <selection activeCell="Y16" sqref="Y16"/>
    </sheetView>
  </sheetViews>
  <sheetFormatPr defaultColWidth="12" defaultRowHeight="11.25"/>
  <cols>
    <col min="1" max="1" width="7.6640625" bestFit="1" customWidth="1"/>
    <col min="4" max="4" width="22.5" bestFit="1" customWidth="1"/>
    <col min="5" max="5" width="28.5" customWidth="1"/>
    <col min="7" max="7" width="9.33203125" customWidth="1"/>
    <col min="11" max="11" width="15.5" customWidth="1"/>
  </cols>
  <sheetData>
    <row r="1" spans="1:26" ht="20.25">
      <c r="A1" s="30" t="s">
        <v>0</v>
      </c>
      <c r="B1" s="31"/>
      <c r="C1" s="31"/>
      <c r="D1" s="31"/>
      <c r="E1" s="31"/>
      <c r="F1" s="31"/>
      <c r="G1" s="31"/>
      <c r="H1" s="31"/>
    </row>
    <row r="2" spans="1:26" ht="15">
      <c r="A2" s="1" t="s">
        <v>1</v>
      </c>
      <c r="B2" s="1">
        <v>201811</v>
      </c>
      <c r="C2" s="1" t="s">
        <v>2</v>
      </c>
      <c r="D2" s="1" t="s">
        <v>3</v>
      </c>
      <c r="E2" s="2" t="s">
        <v>4</v>
      </c>
      <c r="F2" s="1">
        <v>370100</v>
      </c>
      <c r="G2" s="3"/>
      <c r="H2" s="3"/>
      <c r="X2" t="s">
        <v>128</v>
      </c>
      <c r="Y2">
        <f>SUMIF(D:D,X2,O:O)</f>
        <v>0</v>
      </c>
    </row>
    <row r="3" spans="1:26" ht="15">
      <c r="A3" s="4" t="s">
        <v>5</v>
      </c>
      <c r="B3" s="4" t="s">
        <v>6</v>
      </c>
      <c r="C3" s="4" t="s">
        <v>7</v>
      </c>
      <c r="D3" s="4" t="s">
        <v>8</v>
      </c>
      <c r="E3" s="4" t="s">
        <v>9</v>
      </c>
      <c r="F3" s="4" t="s">
        <v>10</v>
      </c>
      <c r="G3" s="4" t="s">
        <v>11</v>
      </c>
      <c r="H3" s="4" t="s">
        <v>12</v>
      </c>
      <c r="X3" t="s">
        <v>129</v>
      </c>
      <c r="Y3">
        <f>SUMIF(C:C,X3,O:O)</f>
        <v>0</v>
      </c>
    </row>
    <row r="4" spans="1:26" ht="15">
      <c r="A4" s="1">
        <v>1</v>
      </c>
      <c r="B4" s="1" t="s">
        <v>13</v>
      </c>
      <c r="C4" s="1" t="s">
        <v>14</v>
      </c>
      <c r="D4" s="1" t="s">
        <v>15</v>
      </c>
      <c r="E4" s="5" t="s">
        <v>16</v>
      </c>
      <c r="F4" s="1" t="s">
        <v>17</v>
      </c>
      <c r="G4" s="1">
        <f>J12</f>
        <v>394</v>
      </c>
      <c r="H4" s="1" t="s">
        <v>18</v>
      </c>
      <c r="M4">
        <v>124</v>
      </c>
      <c r="O4" t="s">
        <v>120</v>
      </c>
      <c r="P4" s="32">
        <v>259</v>
      </c>
      <c r="R4" t="s">
        <v>120</v>
      </c>
      <c r="S4">
        <v>255</v>
      </c>
      <c r="T4" t="s">
        <v>120</v>
      </c>
      <c r="U4">
        <v>4</v>
      </c>
      <c r="X4" t="s">
        <v>130</v>
      </c>
      <c r="Y4">
        <f>SUMIF(C:C,X4,O:O)</f>
        <v>0</v>
      </c>
    </row>
    <row r="5" spans="1:26" ht="15">
      <c r="A5" s="1">
        <v>2</v>
      </c>
      <c r="B5" s="1" t="s">
        <v>13</v>
      </c>
      <c r="C5" s="1" t="s">
        <v>19</v>
      </c>
      <c r="D5" s="1" t="s">
        <v>20</v>
      </c>
      <c r="E5" s="1" t="s">
        <v>21</v>
      </c>
      <c r="F5" s="1" t="s">
        <v>17</v>
      </c>
      <c r="G5" s="1">
        <v>0</v>
      </c>
      <c r="H5" s="1" t="s">
        <v>18</v>
      </c>
      <c r="M5">
        <v>741</v>
      </c>
      <c r="O5" t="s">
        <v>121</v>
      </c>
      <c r="P5" s="32">
        <v>1293</v>
      </c>
      <c r="R5" t="s">
        <v>121</v>
      </c>
      <c r="S5">
        <v>1156</v>
      </c>
      <c r="T5" t="s">
        <v>121</v>
      </c>
      <c r="U5">
        <v>137</v>
      </c>
      <c r="X5" t="s">
        <v>131</v>
      </c>
      <c r="Y5">
        <f>SUMIF(D:D,X5,O:O)</f>
        <v>0</v>
      </c>
    </row>
    <row r="6" spans="1:26" ht="15">
      <c r="A6" s="1">
        <v>3</v>
      </c>
      <c r="B6" s="1" t="s">
        <v>13</v>
      </c>
      <c r="C6" s="1" t="s">
        <v>22</v>
      </c>
      <c r="D6" s="1" t="s">
        <v>20</v>
      </c>
      <c r="E6" s="1" t="s">
        <v>23</v>
      </c>
      <c r="F6" s="1" t="s">
        <v>17</v>
      </c>
      <c r="G6" s="1">
        <f>J12</f>
        <v>394</v>
      </c>
      <c r="H6" s="1" t="s">
        <v>18</v>
      </c>
      <c r="M6">
        <v>497</v>
      </c>
      <c r="O6" t="s">
        <v>122</v>
      </c>
      <c r="P6" s="32">
        <v>717</v>
      </c>
      <c r="R6" t="s">
        <v>122</v>
      </c>
      <c r="S6">
        <v>667</v>
      </c>
      <c r="T6" t="s">
        <v>122</v>
      </c>
      <c r="U6">
        <v>50</v>
      </c>
    </row>
    <row r="7" spans="1:26" ht="15">
      <c r="A7" s="1">
        <v>4</v>
      </c>
      <c r="B7" s="1" t="s">
        <v>13</v>
      </c>
      <c r="C7" s="1" t="s">
        <v>24</v>
      </c>
      <c r="D7" s="1" t="s">
        <v>20</v>
      </c>
      <c r="E7" s="1" t="s">
        <v>25</v>
      </c>
      <c r="F7" s="1" t="s">
        <v>17</v>
      </c>
      <c r="G7" s="1">
        <v>0</v>
      </c>
      <c r="H7" s="1" t="s">
        <v>18</v>
      </c>
      <c r="M7">
        <v>394</v>
      </c>
      <c r="O7" t="s">
        <v>123</v>
      </c>
      <c r="P7" s="32">
        <v>934</v>
      </c>
      <c r="R7" t="s">
        <v>123</v>
      </c>
      <c r="S7">
        <v>856</v>
      </c>
      <c r="T7" t="s">
        <v>123</v>
      </c>
      <c r="U7">
        <v>78</v>
      </c>
      <c r="W7">
        <v>120115</v>
      </c>
      <c r="X7" t="s">
        <v>136</v>
      </c>
      <c r="Y7" s="32">
        <v>0</v>
      </c>
      <c r="Z7" s="32">
        <v>0</v>
      </c>
    </row>
    <row r="8" spans="1:26" ht="15">
      <c r="A8" s="1">
        <v>5</v>
      </c>
      <c r="B8" s="1" t="s">
        <v>13</v>
      </c>
      <c r="C8" s="1" t="s">
        <v>26</v>
      </c>
      <c r="D8" s="1" t="s">
        <v>20</v>
      </c>
      <c r="E8" s="1" t="s">
        <v>27</v>
      </c>
      <c r="F8" s="1" t="s">
        <v>17</v>
      </c>
      <c r="G8" s="1">
        <v>0</v>
      </c>
      <c r="H8" s="1" t="s">
        <v>18</v>
      </c>
      <c r="W8">
        <v>120225</v>
      </c>
      <c r="X8" t="s">
        <v>137</v>
      </c>
      <c r="Y8" s="32">
        <v>35</v>
      </c>
      <c r="Z8" s="32">
        <v>977743</v>
      </c>
    </row>
    <row r="9" spans="1:26" ht="15">
      <c r="A9" s="1">
        <v>6</v>
      </c>
      <c r="B9" s="1" t="s">
        <v>13</v>
      </c>
      <c r="C9" s="1" t="s">
        <v>28</v>
      </c>
      <c r="D9" s="1" t="s">
        <v>20</v>
      </c>
      <c r="E9" s="1" t="s">
        <v>29</v>
      </c>
      <c r="F9" s="1" t="s">
        <v>17</v>
      </c>
      <c r="G9" s="1">
        <v>0</v>
      </c>
      <c r="H9" s="1" t="s">
        <v>18</v>
      </c>
      <c r="W9">
        <v>120223</v>
      </c>
      <c r="X9" t="s">
        <v>138</v>
      </c>
      <c r="Y9" s="32">
        <v>105</v>
      </c>
      <c r="Z9" s="32">
        <v>972882.01</v>
      </c>
    </row>
    <row r="10" spans="1:26" ht="15">
      <c r="A10" s="1">
        <v>5</v>
      </c>
      <c r="B10" s="1" t="s">
        <v>13</v>
      </c>
      <c r="C10" s="1" t="s">
        <v>30</v>
      </c>
      <c r="D10" s="1" t="s">
        <v>31</v>
      </c>
      <c r="E10" s="1" t="s">
        <v>32</v>
      </c>
      <c r="F10" s="1" t="s">
        <v>17</v>
      </c>
      <c r="G10" s="1">
        <f>J12</f>
        <v>394</v>
      </c>
      <c r="H10" s="1" t="s">
        <v>18</v>
      </c>
      <c r="W10">
        <v>120221</v>
      </c>
      <c r="X10" t="s">
        <v>139</v>
      </c>
      <c r="Y10" s="32">
        <v>0</v>
      </c>
      <c r="Z10" s="32">
        <v>0</v>
      </c>
    </row>
    <row r="11" spans="1:26" ht="15">
      <c r="A11" s="1">
        <v>8</v>
      </c>
      <c r="B11" s="1" t="s">
        <v>13</v>
      </c>
      <c r="C11" s="1" t="s">
        <v>33</v>
      </c>
      <c r="D11" s="1" t="s">
        <v>31</v>
      </c>
      <c r="E11" s="5" t="s">
        <v>34</v>
      </c>
      <c r="F11" s="1" t="s">
        <v>17</v>
      </c>
      <c r="G11" s="1">
        <v>0</v>
      </c>
      <c r="H11" s="1" t="s">
        <v>18</v>
      </c>
      <c r="W11">
        <v>120114</v>
      </c>
      <c r="X11" t="s">
        <v>140</v>
      </c>
      <c r="Y11" s="32">
        <v>0</v>
      </c>
      <c r="Z11" s="32">
        <v>0</v>
      </c>
    </row>
    <row r="12" spans="1:26" ht="15">
      <c r="A12" s="1">
        <v>9</v>
      </c>
      <c r="B12" s="1" t="s">
        <v>35</v>
      </c>
      <c r="C12" s="1" t="s">
        <v>14</v>
      </c>
      <c r="D12" s="1" t="s">
        <v>15</v>
      </c>
      <c r="E12" s="5" t="s">
        <v>36</v>
      </c>
      <c r="F12" s="1" t="s">
        <v>17</v>
      </c>
      <c r="G12" s="1">
        <f>J12</f>
        <v>394</v>
      </c>
      <c r="H12" s="1" t="s">
        <v>18</v>
      </c>
      <c r="I12" s="6"/>
      <c r="J12" s="7">
        <v>394</v>
      </c>
      <c r="K12" t="s">
        <v>37</v>
      </c>
      <c r="L12" s="8" t="s">
        <v>38</v>
      </c>
      <c r="R12" s="8" t="s">
        <v>124</v>
      </c>
      <c r="S12" s="8" t="s">
        <v>125</v>
      </c>
      <c r="T12" s="8" t="s">
        <v>126</v>
      </c>
      <c r="U12" s="8" t="s">
        <v>127</v>
      </c>
    </row>
    <row r="13" spans="1:26" ht="15">
      <c r="A13" s="1">
        <v>10</v>
      </c>
      <c r="B13" s="1" t="s">
        <v>35</v>
      </c>
      <c r="C13" s="1" t="s">
        <v>19</v>
      </c>
      <c r="D13" s="1" t="s">
        <v>39</v>
      </c>
      <c r="E13" s="1" t="s">
        <v>40</v>
      </c>
      <c r="F13" s="1" t="s">
        <v>17</v>
      </c>
      <c r="G13" s="9">
        <v>104</v>
      </c>
      <c r="H13" s="1" t="s">
        <v>18</v>
      </c>
      <c r="I13" s="11">
        <f>ROUND(J12*L13,0)</f>
        <v>104</v>
      </c>
      <c r="J13" s="10"/>
      <c r="L13" s="25">
        <f>U13</f>
        <v>0.26340000000000002</v>
      </c>
      <c r="M13">
        <f>G13/J12</f>
        <v>0.26395939086294418</v>
      </c>
      <c r="R13">
        <f>Sheet2!R13</f>
        <v>0.26350000000000001</v>
      </c>
      <c r="S13">
        <f>Sheet2!S13</f>
        <v>0.26629999999999998</v>
      </c>
      <c r="T13" s="25">
        <f>Sheet2!T13</f>
        <v>0.26440000000000002</v>
      </c>
      <c r="U13">
        <f>Sheet2!U13</f>
        <v>0.26340000000000002</v>
      </c>
    </row>
    <row r="14" spans="1:26" ht="15">
      <c r="A14" s="1">
        <v>11</v>
      </c>
      <c r="B14" s="1" t="s">
        <v>35</v>
      </c>
      <c r="C14" s="1" t="s">
        <v>22</v>
      </c>
      <c r="D14" s="1" t="s">
        <v>39</v>
      </c>
      <c r="E14" s="1" t="s">
        <v>41</v>
      </c>
      <c r="F14" s="1" t="s">
        <v>17</v>
      </c>
      <c r="G14" s="9">
        <v>244</v>
      </c>
      <c r="H14" s="1" t="s">
        <v>18</v>
      </c>
      <c r="I14" s="11">
        <f>ROUND(J12*L14,0)</f>
        <v>244</v>
      </c>
      <c r="J14" s="12"/>
      <c r="L14" s="25">
        <f t="shared" ref="L14:L49" si="0">U14</f>
        <v>0.61929999999999996</v>
      </c>
      <c r="M14">
        <f>G14/J12</f>
        <v>0.61928934010152281</v>
      </c>
      <c r="P14" t="b">
        <f>G4=SUM(G5:G9)</f>
        <v>1</v>
      </c>
      <c r="R14">
        <f>Sheet2!R14</f>
        <v>0.66310000000000002</v>
      </c>
      <c r="S14">
        <f>Sheet2!S14</f>
        <v>0.65839999999999999</v>
      </c>
      <c r="T14" s="25">
        <f>Sheet2!T14</f>
        <v>0.61209999999999998</v>
      </c>
      <c r="U14">
        <f>Sheet2!U14</f>
        <v>0.61929999999999996</v>
      </c>
    </row>
    <row r="15" spans="1:26" ht="15">
      <c r="A15" s="1">
        <v>12</v>
      </c>
      <c r="B15" s="1" t="s">
        <v>35</v>
      </c>
      <c r="C15" s="1" t="s">
        <v>24</v>
      </c>
      <c r="D15" s="1" t="s">
        <v>39</v>
      </c>
      <c r="E15" s="1" t="s">
        <v>42</v>
      </c>
      <c r="F15" s="1" t="s">
        <v>17</v>
      </c>
      <c r="G15" s="9">
        <v>46</v>
      </c>
      <c r="H15" s="1" t="s">
        <v>18</v>
      </c>
      <c r="I15" s="11">
        <f>ROUND(J12*L15,0)</f>
        <v>46</v>
      </c>
      <c r="J15" s="13"/>
      <c r="L15" s="25">
        <f t="shared" si="0"/>
        <v>0.1173</v>
      </c>
      <c r="M15">
        <f>G15/J12</f>
        <v>0.116751269035533</v>
      </c>
      <c r="P15" t="b">
        <f>G4=SUM(G10:G11)</f>
        <v>1</v>
      </c>
      <c r="R15">
        <f>Sheet2!R15</f>
        <v>7.3400000000000007E-2</v>
      </c>
      <c r="S15">
        <f>Sheet2!S15</f>
        <v>7.5300000000000006E-2</v>
      </c>
      <c r="T15" s="25">
        <f>Sheet2!T15</f>
        <v>0.1235</v>
      </c>
      <c r="U15">
        <f>Sheet2!U15</f>
        <v>0.1173</v>
      </c>
    </row>
    <row r="16" spans="1:26" ht="15">
      <c r="A16" s="1">
        <v>13</v>
      </c>
      <c r="B16" s="1" t="s">
        <v>35</v>
      </c>
      <c r="C16" s="1" t="s">
        <v>26</v>
      </c>
      <c r="D16" s="1" t="s">
        <v>39</v>
      </c>
      <c r="E16" s="1" t="s">
        <v>43</v>
      </c>
      <c r="F16" s="1" t="s">
        <v>17</v>
      </c>
      <c r="G16" s="9">
        <v>0</v>
      </c>
      <c r="H16" s="1" t="s">
        <v>18</v>
      </c>
      <c r="I16" s="11">
        <f>ROUND(J12*L16,0)</f>
        <v>0</v>
      </c>
      <c r="J16" s="14"/>
      <c r="L16" s="25">
        <f t="shared" si="0"/>
        <v>9.9999999999999998E-13</v>
      </c>
      <c r="M16">
        <f>G16/J12</f>
        <v>0</v>
      </c>
      <c r="P16" t="b">
        <f>G6=G12</f>
        <v>1</v>
      </c>
      <c r="R16">
        <f>Sheet2!R16</f>
        <v>1.6803898504453001E-4</v>
      </c>
      <c r="S16">
        <f>Sheet2!S16</f>
        <v>9.9999999999999998E-13</v>
      </c>
      <c r="T16">
        <f>Sheet2!T16</f>
        <v>9.9999999999999998E-13</v>
      </c>
      <c r="U16">
        <f>Sheet2!U16</f>
        <v>9.9999999999999998E-13</v>
      </c>
    </row>
    <row r="17" spans="1:21" ht="15">
      <c r="A17" s="1">
        <v>14</v>
      </c>
      <c r="B17" s="1" t="s">
        <v>35</v>
      </c>
      <c r="C17" s="1" t="s">
        <v>28</v>
      </c>
      <c r="D17" s="1" t="s">
        <v>39</v>
      </c>
      <c r="E17" s="1" t="s">
        <v>44</v>
      </c>
      <c r="F17" s="1" t="s">
        <v>17</v>
      </c>
      <c r="G17" s="9">
        <v>0</v>
      </c>
      <c r="H17" s="1" t="s">
        <v>18</v>
      </c>
      <c r="L17" s="25">
        <f t="shared" si="0"/>
        <v>0</v>
      </c>
      <c r="P17" s="11" t="b">
        <f>G12=SUM(G13:G17)</f>
        <v>1</v>
      </c>
      <c r="T17" s="25"/>
    </row>
    <row r="18" spans="1:21" ht="15">
      <c r="A18" s="1">
        <v>15</v>
      </c>
      <c r="B18" s="1" t="s">
        <v>35</v>
      </c>
      <c r="C18" s="1" t="s">
        <v>30</v>
      </c>
      <c r="D18" s="1" t="s">
        <v>45</v>
      </c>
      <c r="E18" s="1" t="s">
        <v>46</v>
      </c>
      <c r="F18" s="1" t="s">
        <v>17</v>
      </c>
      <c r="G18" s="15">
        <v>13</v>
      </c>
      <c r="H18" s="1" t="s">
        <v>18</v>
      </c>
      <c r="I18" s="16">
        <f>ROUND(K18*L18,0)</f>
        <v>13</v>
      </c>
      <c r="K18" s="16">
        <f>G13</f>
        <v>104</v>
      </c>
      <c r="L18" s="25">
        <f t="shared" si="0"/>
        <v>0.12330000000000001</v>
      </c>
      <c r="M18">
        <f t="shared" ref="M18:M23" si="1">G18/K18</f>
        <v>0.125</v>
      </c>
      <c r="P18" s="24" t="b">
        <f>G13=SUM(G18:G24)</f>
        <v>1</v>
      </c>
      <c r="R18" s="17">
        <f>Sheet2!R18</f>
        <v>0.1245</v>
      </c>
      <c r="S18" s="17">
        <f>Sheet2!S18</f>
        <v>0.1208</v>
      </c>
      <c r="T18" s="26">
        <f>Sheet2!T18</f>
        <v>0.13</v>
      </c>
      <c r="U18" s="17">
        <f>Sheet2!U18</f>
        <v>0.12330000000000001</v>
      </c>
    </row>
    <row r="19" spans="1:21" ht="15">
      <c r="A19" s="1">
        <v>16</v>
      </c>
      <c r="B19" s="1" t="s">
        <v>35</v>
      </c>
      <c r="C19" s="1" t="s">
        <v>33</v>
      </c>
      <c r="D19" s="1" t="s">
        <v>45</v>
      </c>
      <c r="E19" s="1" t="s">
        <v>47</v>
      </c>
      <c r="F19" s="1" t="s">
        <v>17</v>
      </c>
      <c r="G19" s="15">
        <v>25</v>
      </c>
      <c r="H19" s="1" t="s">
        <v>18</v>
      </c>
      <c r="I19" s="16">
        <f t="shared" ref="I19:I49" si="2">ROUND(K19*L19,0)</f>
        <v>25</v>
      </c>
      <c r="K19" s="16">
        <f>G13</f>
        <v>104</v>
      </c>
      <c r="L19" s="25">
        <f t="shared" si="0"/>
        <v>0.2417</v>
      </c>
      <c r="M19">
        <f t="shared" si="1"/>
        <v>0.24038461538461539</v>
      </c>
      <c r="P19" s="19" t="b">
        <f>G14=SUM(G25:G31)</f>
        <v>1</v>
      </c>
      <c r="Q19" s="16"/>
      <c r="R19" s="17">
        <f>Sheet2!R19</f>
        <v>0.2596</v>
      </c>
      <c r="S19" s="17">
        <f>Sheet2!S19</f>
        <v>0.25900000000000001</v>
      </c>
      <c r="T19" s="26">
        <f>Sheet2!T19</f>
        <v>0.25319999999999998</v>
      </c>
      <c r="U19" s="17">
        <f>Sheet2!U19</f>
        <v>0.2417</v>
      </c>
    </row>
    <row r="20" spans="1:21" ht="15">
      <c r="A20" s="1">
        <v>17</v>
      </c>
      <c r="B20" s="1" t="s">
        <v>35</v>
      </c>
      <c r="C20" s="1" t="s">
        <v>48</v>
      </c>
      <c r="D20" s="1" t="s">
        <v>45</v>
      </c>
      <c r="E20" s="1" t="s">
        <v>49</v>
      </c>
      <c r="F20" s="1" t="s">
        <v>17</v>
      </c>
      <c r="G20" s="15">
        <v>28</v>
      </c>
      <c r="H20" s="1" t="s">
        <v>18</v>
      </c>
      <c r="I20" s="16">
        <f t="shared" si="2"/>
        <v>28</v>
      </c>
      <c r="K20" s="16">
        <f>G13</f>
        <v>104</v>
      </c>
      <c r="L20" s="25">
        <f t="shared" si="0"/>
        <v>0.26910000000000001</v>
      </c>
      <c r="M20">
        <f t="shared" si="1"/>
        <v>0.26923076923076922</v>
      </c>
      <c r="P20" s="21" t="b">
        <f>G15=SUM(G32:G42)</f>
        <v>1</v>
      </c>
      <c r="R20" s="17">
        <f>Sheet2!R20</f>
        <v>0.25869999999999999</v>
      </c>
      <c r="S20" s="17">
        <f>Sheet2!S20</f>
        <v>0.26479999999999998</v>
      </c>
      <c r="T20" s="26">
        <f>Sheet2!T20</f>
        <v>0.25929999999999997</v>
      </c>
      <c r="U20" s="17">
        <f>Sheet2!U20</f>
        <v>0.26910000000000001</v>
      </c>
    </row>
    <row r="21" spans="1:21" ht="15">
      <c r="A21" s="1">
        <v>18</v>
      </c>
      <c r="B21" s="1" t="s">
        <v>35</v>
      </c>
      <c r="C21" s="1" t="s">
        <v>50</v>
      </c>
      <c r="D21" s="1" t="s">
        <v>45</v>
      </c>
      <c r="E21" s="1" t="s">
        <v>51</v>
      </c>
      <c r="F21" s="1" t="s">
        <v>17</v>
      </c>
      <c r="G21" s="15">
        <v>28</v>
      </c>
      <c r="H21" s="1" t="s">
        <v>18</v>
      </c>
      <c r="I21" s="16">
        <f t="shared" si="2"/>
        <v>28</v>
      </c>
      <c r="K21" s="16">
        <f>G13</f>
        <v>104</v>
      </c>
      <c r="L21" s="25">
        <f t="shared" si="0"/>
        <v>0.26769999999999999</v>
      </c>
      <c r="M21">
        <f t="shared" si="1"/>
        <v>0.26923076923076922</v>
      </c>
      <c r="P21" t="b">
        <f>G16=SUM(G43:G45)</f>
        <v>1</v>
      </c>
      <c r="R21" s="17">
        <f>Sheet2!R21</f>
        <v>0.25540000000000002</v>
      </c>
      <c r="S21" s="17">
        <f>Sheet2!S21</f>
        <v>0.25309999999999999</v>
      </c>
      <c r="T21" s="26">
        <f>Sheet2!T21</f>
        <v>0.25059999999999999</v>
      </c>
      <c r="U21" s="17">
        <f>Sheet2!U21</f>
        <v>0.26769999999999999</v>
      </c>
    </row>
    <row r="22" spans="1:21" ht="15">
      <c r="A22" s="1">
        <v>19</v>
      </c>
      <c r="B22" s="1" t="s">
        <v>35</v>
      </c>
      <c r="C22" s="1" t="s">
        <v>52</v>
      </c>
      <c r="D22" s="1" t="s">
        <v>45</v>
      </c>
      <c r="E22" s="1" t="s">
        <v>53</v>
      </c>
      <c r="F22" s="1" t="s">
        <v>17</v>
      </c>
      <c r="G22" s="15">
        <v>5</v>
      </c>
      <c r="H22" s="1" t="s">
        <v>18</v>
      </c>
      <c r="I22" s="16">
        <f t="shared" si="2"/>
        <v>5</v>
      </c>
      <c r="K22" s="16">
        <f>G13</f>
        <v>104</v>
      </c>
      <c r="L22" s="25">
        <f t="shared" si="0"/>
        <v>4.8500000000000001E-2</v>
      </c>
      <c r="M22">
        <f t="shared" si="1"/>
        <v>4.807692307692308E-2</v>
      </c>
      <c r="P22" t="b">
        <f>G17=SUM(G46:G47)</f>
        <v>1</v>
      </c>
      <c r="R22" s="17">
        <f>Sheet2!R22</f>
        <v>4.1799999999999997E-2</v>
      </c>
      <c r="S22" s="17">
        <f>Sheet2!S22</f>
        <v>4.6800000000000001E-2</v>
      </c>
      <c r="T22" s="26">
        <f>Sheet2!T22</f>
        <v>4.1300000000000003E-2</v>
      </c>
      <c r="U22" s="17">
        <f>Sheet2!U22</f>
        <v>4.8500000000000001E-2</v>
      </c>
    </row>
    <row r="23" spans="1:21" ht="15">
      <c r="A23" s="1">
        <v>20</v>
      </c>
      <c r="B23" s="1" t="s">
        <v>35</v>
      </c>
      <c r="C23" s="1" t="s">
        <v>54</v>
      </c>
      <c r="D23" s="1" t="s">
        <v>45</v>
      </c>
      <c r="E23" s="1" t="s">
        <v>55</v>
      </c>
      <c r="F23" s="1" t="s">
        <v>17</v>
      </c>
      <c r="G23" s="15">
        <v>5</v>
      </c>
      <c r="H23" s="1" t="s">
        <v>18</v>
      </c>
      <c r="I23" s="16">
        <f t="shared" si="2"/>
        <v>5</v>
      </c>
      <c r="K23" s="16">
        <f t="shared" ref="K23" si="3">K18</f>
        <v>104</v>
      </c>
      <c r="L23" s="25">
        <f t="shared" si="0"/>
        <v>4.9700000000000001E-2</v>
      </c>
      <c r="M23">
        <f t="shared" si="1"/>
        <v>4.807692307692308E-2</v>
      </c>
      <c r="P23" s="6" t="b">
        <f>G12=SUM(G48:G49)</f>
        <v>1</v>
      </c>
      <c r="R23" s="17">
        <f>Sheet2!R23</f>
        <v>6.0000000000000102E-2</v>
      </c>
      <c r="S23" s="17">
        <f>Sheet2!S23</f>
        <v>5.5500000000000098E-2</v>
      </c>
      <c r="T23" s="26">
        <f>Sheet2!T23</f>
        <v>6.5600000000000006E-2</v>
      </c>
      <c r="U23" s="17">
        <f>Sheet2!U23</f>
        <v>4.9700000000000001E-2</v>
      </c>
    </row>
    <row r="24" spans="1:21" ht="15">
      <c r="A24" s="1">
        <v>21</v>
      </c>
      <c r="B24" s="1" t="s">
        <v>35</v>
      </c>
      <c r="C24" s="1" t="s">
        <v>56</v>
      </c>
      <c r="D24" s="1" t="s">
        <v>45</v>
      </c>
      <c r="E24" s="1" t="s">
        <v>57</v>
      </c>
      <c r="F24" s="1" t="s">
        <v>17</v>
      </c>
      <c r="G24" s="15">
        <v>0</v>
      </c>
      <c r="H24" s="1" t="s">
        <v>18</v>
      </c>
      <c r="I24" s="16">
        <f t="shared" si="2"/>
        <v>0</v>
      </c>
      <c r="L24" s="25">
        <f t="shared" si="0"/>
        <v>0</v>
      </c>
      <c r="P24" t="b">
        <f>G12=SUM(G50:G51)</f>
        <v>1</v>
      </c>
      <c r="T24" s="25"/>
    </row>
    <row r="25" spans="1:21" ht="15">
      <c r="A25" s="1">
        <v>22</v>
      </c>
      <c r="B25" s="1" t="s">
        <v>35</v>
      </c>
      <c r="C25" s="1" t="s">
        <v>58</v>
      </c>
      <c r="D25" s="1" t="s">
        <v>45</v>
      </c>
      <c r="E25" s="1" t="s">
        <v>59</v>
      </c>
      <c r="F25" s="1" t="s">
        <v>17</v>
      </c>
      <c r="G25" s="18">
        <v>4</v>
      </c>
      <c r="H25" s="1" t="s">
        <v>18</v>
      </c>
      <c r="I25" s="16">
        <f t="shared" si="2"/>
        <v>4</v>
      </c>
      <c r="K25" s="16">
        <f t="shared" ref="K25:K31" si="4">G$14</f>
        <v>244</v>
      </c>
      <c r="L25" s="25">
        <f t="shared" si="0"/>
        <v>1.6199999999999999E-2</v>
      </c>
      <c r="M25">
        <f t="shared" ref="M25:M31" si="5">G25/K25</f>
        <v>1.6393442622950821E-2</v>
      </c>
      <c r="P25" s="16"/>
      <c r="R25" s="19">
        <f>Sheet2!R25</f>
        <v>1.67E-2</v>
      </c>
      <c r="S25" s="19">
        <f>Sheet2!S25</f>
        <v>1.5100000000000001E-2</v>
      </c>
      <c r="T25" s="27">
        <f>Sheet2!T25</f>
        <v>1.7000000000000001E-2</v>
      </c>
      <c r="U25" s="19">
        <f>Sheet2!U25</f>
        <v>1.6199999999999999E-2</v>
      </c>
    </row>
    <row r="26" spans="1:21" ht="15">
      <c r="A26" s="1">
        <v>23</v>
      </c>
      <c r="B26" s="1" t="s">
        <v>35</v>
      </c>
      <c r="C26" s="1" t="s">
        <v>60</v>
      </c>
      <c r="D26" s="1" t="s">
        <v>45</v>
      </c>
      <c r="E26" s="1" t="s">
        <v>61</v>
      </c>
      <c r="F26" s="1" t="s">
        <v>17</v>
      </c>
      <c r="G26" s="18">
        <v>96</v>
      </c>
      <c r="H26" s="1" t="s">
        <v>18</v>
      </c>
      <c r="I26" s="16">
        <f t="shared" si="2"/>
        <v>96</v>
      </c>
      <c r="K26" s="16">
        <f t="shared" si="4"/>
        <v>244</v>
      </c>
      <c r="L26" s="25">
        <f t="shared" si="0"/>
        <v>0.39410000000000001</v>
      </c>
      <c r="M26">
        <f t="shared" si="5"/>
        <v>0.39344262295081966</v>
      </c>
      <c r="P26" s="16"/>
      <c r="R26" s="19">
        <f>Sheet2!R26</f>
        <v>0.39190000000000003</v>
      </c>
      <c r="S26" s="19">
        <f>Sheet2!S26</f>
        <v>0.45419999999999999</v>
      </c>
      <c r="T26" s="27">
        <f>Sheet2!T26</f>
        <v>0.40160000000000001</v>
      </c>
      <c r="U26" s="19">
        <f>Sheet2!U26</f>
        <v>0.39410000000000001</v>
      </c>
    </row>
    <row r="27" spans="1:21" ht="15">
      <c r="A27" s="1">
        <v>24</v>
      </c>
      <c r="B27" s="1" t="s">
        <v>35</v>
      </c>
      <c r="C27" s="1" t="s">
        <v>62</v>
      </c>
      <c r="D27" s="1" t="s">
        <v>45</v>
      </c>
      <c r="E27" s="1" t="s">
        <v>63</v>
      </c>
      <c r="F27" s="1" t="s">
        <v>17</v>
      </c>
      <c r="G27" s="18">
        <v>3</v>
      </c>
      <c r="H27" s="1" t="s">
        <v>18</v>
      </c>
      <c r="I27" s="16">
        <f t="shared" si="2"/>
        <v>3</v>
      </c>
      <c r="K27" s="16">
        <f t="shared" si="4"/>
        <v>244</v>
      </c>
      <c r="L27" s="25">
        <f t="shared" si="0"/>
        <v>1.34E-2</v>
      </c>
      <c r="M27">
        <f t="shared" si="5"/>
        <v>1.2295081967213115E-2</v>
      </c>
      <c r="P27" s="16"/>
      <c r="R27" s="19">
        <f>Sheet2!R27</f>
        <v>1.32E-2</v>
      </c>
      <c r="S27" s="19">
        <f>Sheet2!S27</f>
        <v>9.4999999999999998E-3</v>
      </c>
      <c r="T27" s="27">
        <f>Sheet2!T27</f>
        <v>1.4E-2</v>
      </c>
      <c r="U27" s="19">
        <f>Sheet2!U27</f>
        <v>1.34E-2</v>
      </c>
    </row>
    <row r="28" spans="1:21" ht="15">
      <c r="A28" s="1">
        <v>25</v>
      </c>
      <c r="B28" s="1" t="s">
        <v>35</v>
      </c>
      <c r="C28" s="1" t="s">
        <v>64</v>
      </c>
      <c r="D28" s="1" t="s">
        <v>45</v>
      </c>
      <c r="E28" s="1" t="s">
        <v>65</v>
      </c>
      <c r="F28" s="1" t="s">
        <v>17</v>
      </c>
      <c r="G28" s="18">
        <v>79</v>
      </c>
      <c r="H28" s="1" t="s">
        <v>18</v>
      </c>
      <c r="I28" s="16">
        <f t="shared" si="2"/>
        <v>79</v>
      </c>
      <c r="K28" s="16">
        <f t="shared" si="4"/>
        <v>244</v>
      </c>
      <c r="L28" s="25">
        <f t="shared" si="0"/>
        <v>0.32340000000000002</v>
      </c>
      <c r="M28">
        <f t="shared" si="5"/>
        <v>0.32377049180327871</v>
      </c>
      <c r="P28" s="16"/>
      <c r="R28" s="19">
        <f>Sheet2!R28</f>
        <v>0.31309999999999999</v>
      </c>
      <c r="S28" s="19">
        <f>Sheet2!S28</f>
        <v>0.30549999999999999</v>
      </c>
      <c r="T28" s="27">
        <f>Sheet2!T28</f>
        <v>0.3427</v>
      </c>
      <c r="U28" s="19">
        <f>Sheet2!U28</f>
        <v>0.32340000000000002</v>
      </c>
    </row>
    <row r="29" spans="1:21" ht="15">
      <c r="A29" s="1">
        <v>26</v>
      </c>
      <c r="B29" s="1" t="s">
        <v>35</v>
      </c>
      <c r="C29" s="1" t="s">
        <v>66</v>
      </c>
      <c r="D29" s="1" t="s">
        <v>45</v>
      </c>
      <c r="E29" s="1" t="s">
        <v>67</v>
      </c>
      <c r="F29" s="1" t="s">
        <v>17</v>
      </c>
      <c r="G29" s="18">
        <v>28</v>
      </c>
      <c r="H29" s="1" t="s">
        <v>18</v>
      </c>
      <c r="I29" s="16">
        <f t="shared" si="2"/>
        <v>28</v>
      </c>
      <c r="K29" s="16">
        <f t="shared" si="4"/>
        <v>244</v>
      </c>
      <c r="L29" s="25">
        <f t="shared" si="0"/>
        <v>0.1148</v>
      </c>
      <c r="M29">
        <f t="shared" si="5"/>
        <v>0.11475409836065574</v>
      </c>
      <c r="P29" s="16"/>
      <c r="R29" s="19">
        <f>Sheet2!R29</f>
        <v>0.128</v>
      </c>
      <c r="S29" s="19">
        <f>Sheet2!S29</f>
        <v>0.1169</v>
      </c>
      <c r="T29" s="27">
        <f>Sheet2!T29</f>
        <v>0.1203</v>
      </c>
      <c r="U29" s="19">
        <f>Sheet2!U29</f>
        <v>0.1148</v>
      </c>
    </row>
    <row r="30" spans="1:21" ht="15">
      <c r="A30" s="1">
        <v>27</v>
      </c>
      <c r="B30" s="1" t="s">
        <v>35</v>
      </c>
      <c r="C30" s="1" t="s">
        <v>68</v>
      </c>
      <c r="D30" s="1" t="s">
        <v>45</v>
      </c>
      <c r="E30" s="1" t="s">
        <v>69</v>
      </c>
      <c r="F30" s="1" t="s">
        <v>17</v>
      </c>
      <c r="G30" s="18">
        <v>0</v>
      </c>
      <c r="H30" s="1" t="s">
        <v>18</v>
      </c>
      <c r="I30" s="16">
        <f t="shared" si="2"/>
        <v>0</v>
      </c>
      <c r="K30" s="16">
        <f t="shared" si="4"/>
        <v>244</v>
      </c>
      <c r="L30" s="25">
        <f t="shared" si="0"/>
        <v>4.0000000000000002E-4</v>
      </c>
      <c r="M30">
        <f t="shared" si="5"/>
        <v>0</v>
      </c>
      <c r="P30" s="16"/>
      <c r="R30" s="19">
        <f>Sheet2!R30</f>
        <v>8.9999999999999998E-4</v>
      </c>
      <c r="S30" s="19">
        <f>Sheet2!S30</f>
        <v>1E-3</v>
      </c>
      <c r="T30" s="27">
        <f>Sheet2!T30</f>
        <v>4.0000000000000002E-4</v>
      </c>
      <c r="U30" s="19">
        <f>Sheet2!U30</f>
        <v>4.0000000000000002E-4</v>
      </c>
    </row>
    <row r="31" spans="1:21" ht="15">
      <c r="A31" s="1">
        <v>28</v>
      </c>
      <c r="B31" s="1" t="s">
        <v>35</v>
      </c>
      <c r="C31" s="1" t="s">
        <v>70</v>
      </c>
      <c r="D31" s="1" t="s">
        <v>45</v>
      </c>
      <c r="E31" s="1" t="s">
        <v>71</v>
      </c>
      <c r="F31" s="1" t="s">
        <v>17</v>
      </c>
      <c r="G31" s="18">
        <v>34</v>
      </c>
      <c r="H31" s="1" t="s">
        <v>18</v>
      </c>
      <c r="I31" s="16">
        <f t="shared" si="2"/>
        <v>34</v>
      </c>
      <c r="K31" s="16">
        <f t="shared" si="4"/>
        <v>244</v>
      </c>
      <c r="L31" s="25">
        <f t="shared" si="0"/>
        <v>0.13769999999999999</v>
      </c>
      <c r="M31">
        <f t="shared" si="5"/>
        <v>0.13934426229508196</v>
      </c>
      <c r="P31" s="16"/>
      <c r="R31" s="19">
        <f>Sheet2!R31</f>
        <v>0.13619999999999999</v>
      </c>
      <c r="S31" s="19">
        <f>Sheet2!S31</f>
        <v>9.7800000000000095E-2</v>
      </c>
      <c r="T31" s="27">
        <f>Sheet2!T31</f>
        <v>0.104</v>
      </c>
      <c r="U31" s="19">
        <f>Sheet2!U31</f>
        <v>0.13769999999999999</v>
      </c>
    </row>
    <row r="32" spans="1:21" ht="15">
      <c r="A32" s="1">
        <v>29</v>
      </c>
      <c r="B32" s="1" t="s">
        <v>35</v>
      </c>
      <c r="C32" s="1" t="s">
        <v>72</v>
      </c>
      <c r="D32" s="1" t="s">
        <v>45</v>
      </c>
      <c r="E32" s="1" t="s">
        <v>73</v>
      </c>
      <c r="F32" s="1" t="s">
        <v>17</v>
      </c>
      <c r="G32" s="20">
        <v>0</v>
      </c>
      <c r="H32" s="1" t="s">
        <v>18</v>
      </c>
      <c r="I32" s="16">
        <f t="shared" si="2"/>
        <v>0</v>
      </c>
      <c r="K32" s="16">
        <f t="shared" ref="K32:K42" si="6">G$15</f>
        <v>46</v>
      </c>
      <c r="L32" s="25">
        <f t="shared" si="0"/>
        <v>7.4999999999999997E-3</v>
      </c>
      <c r="M32">
        <f t="shared" ref="M32:M42" si="7">G32/K32</f>
        <v>0</v>
      </c>
      <c r="P32" s="16"/>
      <c r="R32" s="21">
        <f>Sheet2!R32</f>
        <v>7.7000000000000002E-3</v>
      </c>
      <c r="S32" s="21">
        <f>Sheet2!S32</f>
        <v>6.4999999999999997E-3</v>
      </c>
      <c r="T32" s="28">
        <f>Sheet2!T32</f>
        <v>8.2000000000000007E-3</v>
      </c>
      <c r="U32" s="21">
        <f>Sheet2!U32</f>
        <v>7.4999999999999997E-3</v>
      </c>
    </row>
    <row r="33" spans="1:21" ht="15">
      <c r="A33" s="1">
        <v>30</v>
      </c>
      <c r="B33" s="1" t="s">
        <v>35</v>
      </c>
      <c r="C33" s="1" t="s">
        <v>74</v>
      </c>
      <c r="D33" s="1" t="s">
        <v>45</v>
      </c>
      <c r="E33" s="1" t="s">
        <v>75</v>
      </c>
      <c r="F33" s="1" t="s">
        <v>17</v>
      </c>
      <c r="G33" s="20">
        <v>19</v>
      </c>
      <c r="H33" s="1" t="s">
        <v>18</v>
      </c>
      <c r="I33" s="16">
        <f t="shared" si="2"/>
        <v>19</v>
      </c>
      <c r="K33" s="16">
        <f t="shared" si="6"/>
        <v>46</v>
      </c>
      <c r="L33" s="25">
        <f t="shared" si="0"/>
        <v>0.40239999999999998</v>
      </c>
      <c r="M33">
        <f t="shared" si="7"/>
        <v>0.41304347826086957</v>
      </c>
      <c r="P33" s="16"/>
      <c r="R33" s="21">
        <f>Sheet2!R33</f>
        <v>0.4461</v>
      </c>
      <c r="S33" s="21">
        <f>Sheet2!S33</f>
        <v>0.4173</v>
      </c>
      <c r="T33" s="28">
        <f>Sheet2!T33</f>
        <v>0.42359999999999998</v>
      </c>
      <c r="U33" s="21">
        <f>Sheet2!U33</f>
        <v>0.40239999999999998</v>
      </c>
    </row>
    <row r="34" spans="1:21" ht="15">
      <c r="A34" s="1">
        <v>31</v>
      </c>
      <c r="B34" s="1" t="s">
        <v>35</v>
      </c>
      <c r="C34" s="1" t="s">
        <v>76</v>
      </c>
      <c r="D34" s="1" t="s">
        <v>45</v>
      </c>
      <c r="E34" s="1" t="s">
        <v>77</v>
      </c>
      <c r="F34" s="1" t="s">
        <v>17</v>
      </c>
      <c r="G34" s="20">
        <v>25</v>
      </c>
      <c r="H34" s="1" t="s">
        <v>18</v>
      </c>
      <c r="I34" s="16">
        <f t="shared" si="2"/>
        <v>25</v>
      </c>
      <c r="K34" s="16">
        <f t="shared" si="6"/>
        <v>46</v>
      </c>
      <c r="L34" s="25">
        <f t="shared" si="0"/>
        <v>0.54410000000000003</v>
      </c>
      <c r="M34">
        <f t="shared" si="7"/>
        <v>0.54347826086956519</v>
      </c>
      <c r="P34" s="16"/>
      <c r="R34" s="21">
        <f>Sheet2!R34</f>
        <v>0.5242</v>
      </c>
      <c r="S34" s="21">
        <f>Sheet2!S34</f>
        <v>0.53920000000000001</v>
      </c>
      <c r="T34" s="28">
        <f>Sheet2!T34</f>
        <v>0.55579999999999996</v>
      </c>
      <c r="U34" s="21">
        <f>Sheet2!U34</f>
        <v>0.54410000000000003</v>
      </c>
    </row>
    <row r="35" spans="1:21" ht="15">
      <c r="A35" s="1">
        <v>32</v>
      </c>
      <c r="B35" s="1" t="s">
        <v>35</v>
      </c>
      <c r="C35" s="1" t="s">
        <v>78</v>
      </c>
      <c r="D35" s="1" t="s">
        <v>45</v>
      </c>
      <c r="E35" s="1" t="s">
        <v>79</v>
      </c>
      <c r="F35" s="1" t="s">
        <v>17</v>
      </c>
      <c r="G35" s="20">
        <v>0</v>
      </c>
      <c r="H35" s="1" t="s">
        <v>18</v>
      </c>
      <c r="I35" s="16">
        <f t="shared" si="2"/>
        <v>0</v>
      </c>
      <c r="K35" s="16">
        <f t="shared" si="6"/>
        <v>46</v>
      </c>
      <c r="L35" s="25">
        <f t="shared" si="0"/>
        <v>6.3E-3</v>
      </c>
      <c r="M35">
        <f t="shared" si="7"/>
        <v>0</v>
      </c>
      <c r="P35" s="16"/>
      <c r="R35" s="21">
        <f>Sheet2!R35</f>
        <v>5.8999999999999999E-3</v>
      </c>
      <c r="S35" s="21">
        <f>Sheet2!S35</f>
        <v>4.1999999999999997E-3</v>
      </c>
      <c r="T35" s="28">
        <f>Sheet2!T35</f>
        <v>1.4E-3</v>
      </c>
      <c r="U35" s="21">
        <f>Sheet2!U35</f>
        <v>6.3E-3</v>
      </c>
    </row>
    <row r="36" spans="1:21" ht="15">
      <c r="A36" s="1">
        <v>33</v>
      </c>
      <c r="B36" s="1" t="s">
        <v>35</v>
      </c>
      <c r="C36" s="1" t="s">
        <v>80</v>
      </c>
      <c r="D36" s="1" t="s">
        <v>45</v>
      </c>
      <c r="E36" s="1" t="s">
        <v>81</v>
      </c>
      <c r="F36" s="1" t="s">
        <v>17</v>
      </c>
      <c r="G36" s="20">
        <v>0</v>
      </c>
      <c r="H36" s="1" t="s">
        <v>18</v>
      </c>
      <c r="I36" s="16">
        <f t="shared" si="2"/>
        <v>0</v>
      </c>
      <c r="K36" s="16">
        <f t="shared" si="6"/>
        <v>46</v>
      </c>
      <c r="L36" s="25">
        <f t="shared" si="0"/>
        <v>2.5999999999999999E-3</v>
      </c>
      <c r="M36">
        <f t="shared" si="7"/>
        <v>0</v>
      </c>
      <c r="P36" s="16"/>
      <c r="R36" s="21">
        <f>Sheet2!R36</f>
        <v>1.1000000000000001E-3</v>
      </c>
      <c r="S36" s="21">
        <f>Sheet2!S36</f>
        <v>2.3E-3</v>
      </c>
      <c r="T36" s="28">
        <f>Sheet2!T36</f>
        <v>1.2999999999999999E-3</v>
      </c>
      <c r="U36" s="21">
        <f>Sheet2!U36</f>
        <v>2.5999999999999999E-3</v>
      </c>
    </row>
    <row r="37" spans="1:21" ht="15">
      <c r="A37" s="1">
        <v>34</v>
      </c>
      <c r="B37" s="1" t="s">
        <v>35</v>
      </c>
      <c r="C37" s="1" t="s">
        <v>82</v>
      </c>
      <c r="D37" s="1" t="s">
        <v>45</v>
      </c>
      <c r="E37" s="1" t="s">
        <v>83</v>
      </c>
      <c r="F37" s="1" t="s">
        <v>17</v>
      </c>
      <c r="G37" s="20">
        <v>0</v>
      </c>
      <c r="H37" s="1" t="s">
        <v>18</v>
      </c>
      <c r="I37" s="16">
        <f t="shared" si="2"/>
        <v>0</v>
      </c>
      <c r="K37" s="16">
        <f t="shared" si="6"/>
        <v>46</v>
      </c>
      <c r="L37" s="25">
        <f t="shared" si="0"/>
        <v>0</v>
      </c>
      <c r="M37">
        <f t="shared" si="7"/>
        <v>0</v>
      </c>
      <c r="P37" s="16"/>
      <c r="R37" s="21">
        <f>Sheet2!R37</f>
        <v>0</v>
      </c>
      <c r="S37" s="21">
        <f>Sheet2!S37</f>
        <v>0</v>
      </c>
      <c r="T37" s="28">
        <f>Sheet2!T37</f>
        <v>0</v>
      </c>
      <c r="U37" s="21">
        <f>Sheet2!U37</f>
        <v>0</v>
      </c>
    </row>
    <row r="38" spans="1:21" ht="15">
      <c r="A38" s="1">
        <v>35</v>
      </c>
      <c r="B38" s="1" t="s">
        <v>35</v>
      </c>
      <c r="C38" s="1" t="s">
        <v>84</v>
      </c>
      <c r="D38" s="1" t="s">
        <v>45</v>
      </c>
      <c r="E38" s="1" t="s">
        <v>85</v>
      </c>
      <c r="F38" s="1" t="s">
        <v>17</v>
      </c>
      <c r="G38" s="20">
        <v>2</v>
      </c>
      <c r="H38" s="1" t="s">
        <v>18</v>
      </c>
      <c r="I38" s="16">
        <f t="shared" si="2"/>
        <v>2</v>
      </c>
      <c r="K38" s="16">
        <f t="shared" si="6"/>
        <v>46</v>
      </c>
      <c r="L38" s="25">
        <f t="shared" si="0"/>
        <v>3.4099999999999998E-2</v>
      </c>
      <c r="M38">
        <f t="shared" si="7"/>
        <v>4.3478260869565216E-2</v>
      </c>
      <c r="P38" s="16"/>
      <c r="R38" s="21">
        <f>Sheet2!R38</f>
        <v>1.12E-2</v>
      </c>
      <c r="S38" s="21">
        <f>Sheet2!S38</f>
        <v>2.9399999999999999E-2</v>
      </c>
      <c r="T38" s="28">
        <f>Sheet2!T38</f>
        <v>7.4000000000000801E-3</v>
      </c>
      <c r="U38" s="21">
        <f>Sheet2!U38</f>
        <v>3.4099999999999998E-2</v>
      </c>
    </row>
    <row r="39" spans="1:21" ht="15">
      <c r="A39" s="1">
        <v>36</v>
      </c>
      <c r="B39" s="1" t="s">
        <v>35</v>
      </c>
      <c r="C39" s="1" t="s">
        <v>86</v>
      </c>
      <c r="D39" s="1" t="s">
        <v>45</v>
      </c>
      <c r="E39" s="1" t="s">
        <v>87</v>
      </c>
      <c r="F39" s="1" t="s">
        <v>17</v>
      </c>
      <c r="G39" s="20">
        <v>0</v>
      </c>
      <c r="H39" s="1" t="s">
        <v>18</v>
      </c>
      <c r="I39" s="16">
        <f t="shared" si="2"/>
        <v>0</v>
      </c>
      <c r="K39" s="16">
        <f t="shared" si="6"/>
        <v>46</v>
      </c>
      <c r="L39" s="25">
        <f t="shared" si="0"/>
        <v>3.0000000000000001E-3</v>
      </c>
      <c r="M39">
        <f t="shared" si="7"/>
        <v>0</v>
      </c>
      <c r="P39" s="16"/>
      <c r="R39" s="21">
        <f>Sheet2!R39</f>
        <v>3.8E-3</v>
      </c>
      <c r="S39" s="21">
        <f>Sheet2!S39</f>
        <v>1.1000000000000001E-3</v>
      </c>
      <c r="T39" s="28">
        <f>Sheet2!T39</f>
        <v>2.3E-3</v>
      </c>
      <c r="U39" s="21">
        <f>Sheet2!U39</f>
        <v>3.0000000000000001E-3</v>
      </c>
    </row>
    <row r="40" spans="1:21" ht="15">
      <c r="A40" s="1">
        <v>37</v>
      </c>
      <c r="B40" s="1" t="s">
        <v>35</v>
      </c>
      <c r="C40" s="1" t="s">
        <v>88</v>
      </c>
      <c r="D40" s="1" t="s">
        <v>45</v>
      </c>
      <c r="E40" s="1" t="s">
        <v>89</v>
      </c>
      <c r="F40" s="1" t="s">
        <v>17</v>
      </c>
      <c r="G40" s="20">
        <v>0</v>
      </c>
      <c r="H40" s="1" t="s">
        <v>18</v>
      </c>
      <c r="I40" s="16">
        <f t="shared" si="2"/>
        <v>0</v>
      </c>
      <c r="K40" s="16">
        <f t="shared" si="6"/>
        <v>46</v>
      </c>
      <c r="L40" s="25">
        <f t="shared" si="0"/>
        <v>0</v>
      </c>
      <c r="M40">
        <f t="shared" si="7"/>
        <v>0</v>
      </c>
      <c r="P40" s="16"/>
      <c r="R40" s="21">
        <f>Sheet2!R40</f>
        <v>0</v>
      </c>
      <c r="S40" s="21">
        <f>Sheet2!S40</f>
        <v>0</v>
      </c>
      <c r="T40" s="28">
        <f>Sheet2!T40</f>
        <v>0</v>
      </c>
      <c r="U40" s="21">
        <f>Sheet2!U40</f>
        <v>0</v>
      </c>
    </row>
    <row r="41" spans="1:21" ht="15">
      <c r="A41" s="1">
        <v>38</v>
      </c>
      <c r="B41" s="1" t="s">
        <v>35</v>
      </c>
      <c r="C41" s="1" t="s">
        <v>90</v>
      </c>
      <c r="D41" s="1" t="s">
        <v>45</v>
      </c>
      <c r="E41" s="1" t="s">
        <v>91</v>
      </c>
      <c r="F41" s="1" t="s">
        <v>17</v>
      </c>
      <c r="G41" s="20">
        <v>0</v>
      </c>
      <c r="H41" s="1" t="s">
        <v>18</v>
      </c>
      <c r="I41" s="16">
        <f t="shared" si="2"/>
        <v>0</v>
      </c>
      <c r="K41" s="16">
        <f t="shared" si="6"/>
        <v>46</v>
      </c>
      <c r="L41" s="25">
        <f t="shared" si="0"/>
        <v>0</v>
      </c>
      <c r="M41">
        <f t="shared" si="7"/>
        <v>0</v>
      </c>
      <c r="P41" s="16"/>
      <c r="R41" s="21">
        <f>Sheet2!R41</f>
        <v>0</v>
      </c>
      <c r="S41" s="21">
        <f>Sheet2!S41</f>
        <v>0</v>
      </c>
      <c r="T41" s="28">
        <f>Sheet2!T41</f>
        <v>0</v>
      </c>
      <c r="U41" s="21">
        <f>Sheet2!U41</f>
        <v>0</v>
      </c>
    </row>
    <row r="42" spans="1:21" ht="15">
      <c r="A42" s="1">
        <v>39</v>
      </c>
      <c r="B42" s="1" t="s">
        <v>35</v>
      </c>
      <c r="C42" s="1" t="s">
        <v>92</v>
      </c>
      <c r="D42" s="1" t="s">
        <v>45</v>
      </c>
      <c r="E42" s="1" t="s">
        <v>93</v>
      </c>
      <c r="F42" s="1" t="s">
        <v>17</v>
      </c>
      <c r="G42" s="20">
        <v>0</v>
      </c>
      <c r="H42" s="1" t="s">
        <v>18</v>
      </c>
      <c r="I42" s="16">
        <f t="shared" si="2"/>
        <v>0</v>
      </c>
      <c r="K42" s="16">
        <f t="shared" si="6"/>
        <v>46</v>
      </c>
      <c r="L42" s="25">
        <f t="shared" si="0"/>
        <v>0</v>
      </c>
      <c r="M42">
        <f t="shared" si="7"/>
        <v>0</v>
      </c>
      <c r="P42" s="16"/>
      <c r="R42" s="21">
        <f>Sheet2!R42</f>
        <v>0</v>
      </c>
      <c r="S42" s="21">
        <f>Sheet2!S42</f>
        <v>0</v>
      </c>
      <c r="T42" s="28">
        <f>Sheet2!T42</f>
        <v>0</v>
      </c>
      <c r="U42" s="21">
        <f>Sheet2!U42</f>
        <v>0</v>
      </c>
    </row>
    <row r="43" spans="1:21" ht="15">
      <c r="A43" s="1">
        <v>40</v>
      </c>
      <c r="B43" s="1" t="s">
        <v>35</v>
      </c>
      <c r="C43" s="1" t="s">
        <v>94</v>
      </c>
      <c r="D43" s="1" t="s">
        <v>45</v>
      </c>
      <c r="E43" s="1" t="s">
        <v>95</v>
      </c>
      <c r="F43" s="1" t="s">
        <v>17</v>
      </c>
      <c r="G43" s="22">
        <v>0</v>
      </c>
      <c r="H43" s="1" t="s">
        <v>18</v>
      </c>
      <c r="I43" s="16">
        <f t="shared" si="2"/>
        <v>0</v>
      </c>
      <c r="L43" s="25">
        <f t="shared" si="0"/>
        <v>0</v>
      </c>
      <c r="P43" s="16"/>
      <c r="T43" s="25"/>
    </row>
    <row r="44" spans="1:21" ht="15">
      <c r="A44" s="1">
        <v>41</v>
      </c>
      <c r="B44" s="1" t="s">
        <v>35</v>
      </c>
      <c r="C44" s="1" t="s">
        <v>96</v>
      </c>
      <c r="D44" s="1" t="s">
        <v>45</v>
      </c>
      <c r="E44" s="1" t="s">
        <v>97</v>
      </c>
      <c r="F44" s="1" t="s">
        <v>17</v>
      </c>
      <c r="G44" s="22">
        <v>0</v>
      </c>
      <c r="H44" s="1" t="s">
        <v>18</v>
      </c>
      <c r="I44" s="16">
        <f t="shared" si="2"/>
        <v>0</v>
      </c>
      <c r="L44" s="25">
        <f t="shared" si="0"/>
        <v>0</v>
      </c>
      <c r="P44" s="16"/>
      <c r="T44" s="25"/>
    </row>
    <row r="45" spans="1:21" ht="15">
      <c r="A45" s="1">
        <v>42</v>
      </c>
      <c r="B45" s="1" t="s">
        <v>35</v>
      </c>
      <c r="C45" s="1" t="s">
        <v>98</v>
      </c>
      <c r="D45" s="1" t="s">
        <v>45</v>
      </c>
      <c r="E45" s="1" t="s">
        <v>99</v>
      </c>
      <c r="F45" s="1" t="s">
        <v>17</v>
      </c>
      <c r="G45" s="22">
        <v>0</v>
      </c>
      <c r="H45" s="1" t="s">
        <v>18</v>
      </c>
      <c r="I45" s="16">
        <f t="shared" si="2"/>
        <v>0</v>
      </c>
      <c r="L45" s="25">
        <f t="shared" si="0"/>
        <v>0</v>
      </c>
      <c r="P45" s="16"/>
      <c r="T45" s="25"/>
    </row>
    <row r="46" spans="1:21" ht="15">
      <c r="A46" s="1">
        <v>43</v>
      </c>
      <c r="B46" s="1" t="s">
        <v>35</v>
      </c>
      <c r="C46" s="1" t="s">
        <v>100</v>
      </c>
      <c r="D46" s="1" t="s">
        <v>45</v>
      </c>
      <c r="E46" s="1" t="s">
        <v>101</v>
      </c>
      <c r="F46" s="1" t="s">
        <v>17</v>
      </c>
      <c r="G46" s="22">
        <v>0</v>
      </c>
      <c r="H46" s="1" t="s">
        <v>18</v>
      </c>
      <c r="I46" s="16">
        <f t="shared" si="2"/>
        <v>0</v>
      </c>
      <c r="L46" s="25">
        <f t="shared" si="0"/>
        <v>0</v>
      </c>
      <c r="P46" s="16"/>
      <c r="T46" s="25"/>
    </row>
    <row r="47" spans="1:21" ht="15">
      <c r="A47" s="1">
        <v>44</v>
      </c>
      <c r="B47" s="1" t="s">
        <v>35</v>
      </c>
      <c r="C47" s="1" t="s">
        <v>102</v>
      </c>
      <c r="D47" s="1" t="s">
        <v>45</v>
      </c>
      <c r="E47" s="1" t="s">
        <v>44</v>
      </c>
      <c r="F47" s="1" t="s">
        <v>17</v>
      </c>
      <c r="G47" s="22">
        <v>0</v>
      </c>
      <c r="H47" s="1" t="s">
        <v>18</v>
      </c>
      <c r="I47" s="16">
        <f t="shared" si="2"/>
        <v>0</v>
      </c>
      <c r="L47" s="25">
        <f t="shared" si="0"/>
        <v>0</v>
      </c>
      <c r="P47" s="16"/>
      <c r="T47" s="25"/>
    </row>
    <row r="48" spans="1:21" ht="15">
      <c r="A48" s="1">
        <v>45</v>
      </c>
      <c r="B48" s="1" t="s">
        <v>35</v>
      </c>
      <c r="C48" s="1" t="s">
        <v>103</v>
      </c>
      <c r="D48" s="1" t="s">
        <v>104</v>
      </c>
      <c r="E48" s="1" t="s">
        <v>105</v>
      </c>
      <c r="F48" s="1" t="s">
        <v>17</v>
      </c>
      <c r="G48" s="23">
        <v>78</v>
      </c>
      <c r="H48" s="1" t="s">
        <v>18</v>
      </c>
      <c r="I48" s="16">
        <f t="shared" si="2"/>
        <v>78</v>
      </c>
      <c r="K48">
        <f>J12</f>
        <v>394</v>
      </c>
      <c r="L48" s="25">
        <f t="shared" si="0"/>
        <v>0.19828600235254601</v>
      </c>
      <c r="M48">
        <f t="shared" ref="M48:M49" si="8">G48/K48</f>
        <v>0.19796954314720813</v>
      </c>
      <c r="P48" s="16"/>
      <c r="R48" s="6">
        <v>0.19828600235254601</v>
      </c>
      <c r="S48" s="6">
        <v>0.19828600235254601</v>
      </c>
      <c r="T48" s="29">
        <v>0.19400000000000001</v>
      </c>
      <c r="U48" s="6">
        <v>0.19828600235254601</v>
      </c>
    </row>
    <row r="49" spans="1:21" ht="15">
      <c r="A49" s="1">
        <v>46</v>
      </c>
      <c r="B49" s="1" t="s">
        <v>35</v>
      </c>
      <c r="C49" s="1" t="s">
        <v>106</v>
      </c>
      <c r="D49" s="1" t="s">
        <v>104</v>
      </c>
      <c r="E49" s="1" t="s">
        <v>107</v>
      </c>
      <c r="F49" s="1" t="s">
        <v>17</v>
      </c>
      <c r="G49" s="23">
        <v>316</v>
      </c>
      <c r="H49" s="1" t="s">
        <v>18</v>
      </c>
      <c r="I49" s="16">
        <f t="shared" si="2"/>
        <v>316</v>
      </c>
      <c r="K49">
        <f>J12</f>
        <v>394</v>
      </c>
      <c r="L49" s="25">
        <f t="shared" si="0"/>
        <v>0.80171399764745399</v>
      </c>
      <c r="M49">
        <f t="shared" si="8"/>
        <v>0.80203045685279184</v>
      </c>
      <c r="P49" s="16"/>
      <c r="R49" s="6">
        <v>0.80171399764745399</v>
      </c>
      <c r="S49" s="6">
        <v>0.80171399764745399</v>
      </c>
      <c r="T49" s="29">
        <v>0.80600000000000005</v>
      </c>
      <c r="U49" s="6">
        <v>0.80171399764745399</v>
      </c>
    </row>
    <row r="50" spans="1:21" ht="15">
      <c r="A50" s="1">
        <v>47</v>
      </c>
      <c r="B50" s="1" t="s">
        <v>35</v>
      </c>
      <c r="C50" s="1" t="s">
        <v>108</v>
      </c>
      <c r="D50" s="1" t="s">
        <v>31</v>
      </c>
      <c r="E50" s="1" t="s">
        <v>32</v>
      </c>
      <c r="F50" s="1" t="s">
        <v>17</v>
      </c>
      <c r="G50" s="22">
        <f>G12</f>
        <v>394</v>
      </c>
      <c r="H50" s="1" t="s">
        <v>18</v>
      </c>
    </row>
    <row r="51" spans="1:21" ht="15">
      <c r="A51" s="1">
        <v>48</v>
      </c>
      <c r="B51" s="1" t="s">
        <v>35</v>
      </c>
      <c r="C51" s="1" t="s">
        <v>109</v>
      </c>
      <c r="D51" s="1" t="s">
        <v>31</v>
      </c>
      <c r="E51" s="5" t="s">
        <v>34</v>
      </c>
      <c r="F51" s="1" t="s">
        <v>17</v>
      </c>
      <c r="G51" s="1">
        <v>0</v>
      </c>
      <c r="H51" s="1" t="s">
        <v>18</v>
      </c>
    </row>
    <row r="52" spans="1:21" ht="15">
      <c r="A52" s="1">
        <v>49</v>
      </c>
      <c r="B52" s="1" t="s">
        <v>110</v>
      </c>
      <c r="C52" s="1" t="s">
        <v>14</v>
      </c>
      <c r="D52" s="1" t="s">
        <v>15</v>
      </c>
      <c r="E52" s="1" t="s">
        <v>111</v>
      </c>
      <c r="F52" s="1" t="s">
        <v>17</v>
      </c>
      <c r="G52" s="1">
        <v>0</v>
      </c>
      <c r="H52" s="1" t="s">
        <v>18</v>
      </c>
    </row>
    <row r="53" spans="1:21" ht="15">
      <c r="A53" s="1">
        <v>50</v>
      </c>
      <c r="B53" s="1" t="s">
        <v>110</v>
      </c>
      <c r="C53" s="1" t="s">
        <v>19</v>
      </c>
      <c r="D53" s="1" t="s">
        <v>31</v>
      </c>
      <c r="E53" s="1" t="s">
        <v>32</v>
      </c>
      <c r="F53" s="1" t="s">
        <v>17</v>
      </c>
      <c r="G53" s="1">
        <v>0</v>
      </c>
      <c r="H53" s="1" t="s">
        <v>18</v>
      </c>
    </row>
    <row r="54" spans="1:21" ht="15">
      <c r="A54" s="1">
        <v>51</v>
      </c>
      <c r="B54" s="1" t="s">
        <v>110</v>
      </c>
      <c r="C54" s="1" t="s">
        <v>22</v>
      </c>
      <c r="D54" s="1" t="s">
        <v>31</v>
      </c>
      <c r="E54" s="1" t="s">
        <v>34</v>
      </c>
      <c r="F54" s="1" t="s">
        <v>17</v>
      </c>
      <c r="G54" s="1">
        <v>0</v>
      </c>
      <c r="H54" s="1" t="s">
        <v>18</v>
      </c>
    </row>
    <row r="55" spans="1:21" ht="15">
      <c r="A55" s="1">
        <v>52</v>
      </c>
      <c r="B55" s="1" t="s">
        <v>112</v>
      </c>
      <c r="C55" s="1" t="s">
        <v>14</v>
      </c>
      <c r="D55" s="1" t="s">
        <v>15</v>
      </c>
      <c r="E55" s="1" t="s">
        <v>113</v>
      </c>
      <c r="F55" s="1" t="s">
        <v>17</v>
      </c>
      <c r="G55" s="1">
        <v>0</v>
      </c>
      <c r="H55" s="1" t="s">
        <v>18</v>
      </c>
    </row>
    <row r="56" spans="1:21" ht="15">
      <c r="A56" s="1">
        <v>53</v>
      </c>
      <c r="B56" s="1" t="s">
        <v>112</v>
      </c>
      <c r="C56" s="1" t="s">
        <v>19</v>
      </c>
      <c r="D56" s="1" t="s">
        <v>20</v>
      </c>
      <c r="E56" s="1" t="s">
        <v>25</v>
      </c>
      <c r="F56" s="1" t="s">
        <v>17</v>
      </c>
      <c r="G56" s="1">
        <v>0</v>
      </c>
      <c r="H56" s="1" t="s">
        <v>18</v>
      </c>
    </row>
    <row r="57" spans="1:21" ht="15">
      <c r="A57" s="1">
        <v>54</v>
      </c>
      <c r="B57" s="1" t="s">
        <v>112</v>
      </c>
      <c r="C57" s="1" t="s">
        <v>22</v>
      </c>
      <c r="D57" s="1" t="s">
        <v>20</v>
      </c>
      <c r="E57" s="1" t="s">
        <v>27</v>
      </c>
      <c r="F57" s="1" t="s">
        <v>17</v>
      </c>
      <c r="G57" s="1">
        <v>0</v>
      </c>
      <c r="H57" s="1" t="s">
        <v>18</v>
      </c>
    </row>
    <row r="58" spans="1:21" ht="15">
      <c r="A58" s="1">
        <v>55</v>
      </c>
      <c r="B58" s="1" t="s">
        <v>112</v>
      </c>
      <c r="C58" s="1" t="s">
        <v>30</v>
      </c>
      <c r="D58" s="1" t="s">
        <v>31</v>
      </c>
      <c r="E58" s="1" t="s">
        <v>32</v>
      </c>
      <c r="F58" s="1" t="s">
        <v>17</v>
      </c>
      <c r="G58" s="1">
        <v>0</v>
      </c>
      <c r="H58" s="1" t="s">
        <v>18</v>
      </c>
    </row>
    <row r="59" spans="1:21" ht="15">
      <c r="A59" s="1">
        <v>56</v>
      </c>
      <c r="B59" s="1" t="s">
        <v>112</v>
      </c>
      <c r="C59" s="1" t="s">
        <v>33</v>
      </c>
      <c r="D59" s="1" t="s">
        <v>31</v>
      </c>
      <c r="E59" s="1" t="s">
        <v>34</v>
      </c>
      <c r="F59" s="1" t="s">
        <v>17</v>
      </c>
      <c r="G59" s="1">
        <v>0</v>
      </c>
      <c r="H59" s="1" t="s">
        <v>18</v>
      </c>
    </row>
    <row r="60" spans="1:21" ht="15">
      <c r="A60" s="1">
        <v>57</v>
      </c>
      <c r="B60" s="1" t="s">
        <v>114</v>
      </c>
      <c r="C60" s="1" t="s">
        <v>14</v>
      </c>
      <c r="D60" s="1" t="s">
        <v>15</v>
      </c>
      <c r="E60" s="1" t="s">
        <v>115</v>
      </c>
      <c r="F60" s="1" t="s">
        <v>17</v>
      </c>
      <c r="G60" s="1">
        <v>0</v>
      </c>
      <c r="H60" s="1" t="s">
        <v>18</v>
      </c>
    </row>
    <row r="61" spans="1:21" ht="15">
      <c r="A61" s="1">
        <v>58</v>
      </c>
      <c r="B61" s="1" t="s">
        <v>114</v>
      </c>
      <c r="C61" s="1" t="s">
        <v>19</v>
      </c>
      <c r="D61" s="1" t="s">
        <v>20</v>
      </c>
      <c r="E61" s="1" t="s">
        <v>116</v>
      </c>
      <c r="F61" s="1" t="s">
        <v>17</v>
      </c>
      <c r="G61" s="1">
        <v>0</v>
      </c>
      <c r="H61" s="1" t="s">
        <v>18</v>
      </c>
    </row>
    <row r="62" spans="1:21" ht="15">
      <c r="A62" s="1">
        <v>59</v>
      </c>
      <c r="B62" s="1" t="s">
        <v>114</v>
      </c>
      <c r="C62" s="1" t="s">
        <v>22</v>
      </c>
      <c r="D62" s="1" t="s">
        <v>20</v>
      </c>
      <c r="E62" s="1" t="s">
        <v>117</v>
      </c>
      <c r="F62" s="1" t="s">
        <v>17</v>
      </c>
      <c r="G62" s="1">
        <v>0</v>
      </c>
      <c r="H62" s="1" t="s">
        <v>18</v>
      </c>
    </row>
    <row r="63" spans="1:21" ht="15">
      <c r="A63" s="1">
        <v>60</v>
      </c>
      <c r="B63" s="1" t="s">
        <v>114</v>
      </c>
      <c r="C63" s="1" t="s">
        <v>24</v>
      </c>
      <c r="D63" s="1" t="s">
        <v>20</v>
      </c>
      <c r="E63" s="1" t="s">
        <v>118</v>
      </c>
      <c r="F63" s="1" t="s">
        <v>17</v>
      </c>
      <c r="G63" s="1">
        <v>0</v>
      </c>
      <c r="H63" s="1" t="s">
        <v>18</v>
      </c>
    </row>
    <row r="64" spans="1:21" ht="15">
      <c r="A64" s="1">
        <v>61</v>
      </c>
      <c r="B64" s="1" t="s">
        <v>114</v>
      </c>
      <c r="C64" s="1" t="s">
        <v>26</v>
      </c>
      <c r="D64" s="1" t="s">
        <v>20</v>
      </c>
      <c r="E64" s="1" t="s">
        <v>119</v>
      </c>
      <c r="F64" s="1" t="s">
        <v>17</v>
      </c>
      <c r="G64" s="1">
        <v>0</v>
      </c>
      <c r="H64" s="1" t="s">
        <v>18</v>
      </c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l5">
                <anchor moveWithCells="1" sizeWithCells="1">
                  <from>
                    <xdr:col>9</xdr:col>
                    <xdr:colOff>9525</xdr:colOff>
                    <xdr:row>5</xdr:row>
                    <xdr:rowOff>28575</xdr:rowOff>
                  </from>
                  <to>
                    <xdr:col>11</xdr:col>
                    <xdr:colOff>9525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_sum">
                <anchor moveWithCells="1" sizeWithCells="1">
                  <from>
                    <xdr:col>9</xdr:col>
                    <xdr:colOff>38100</xdr:colOff>
                    <xdr:row>1</xdr:row>
                    <xdr:rowOff>47625</xdr:rowOff>
                  </from>
                  <to>
                    <xdr:col>10</xdr:col>
                    <xdr:colOff>838200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R12:U42"/>
  <sheetViews>
    <sheetView workbookViewId="0">
      <selection activeCell="R12" sqref="R12"/>
    </sheetView>
  </sheetViews>
  <sheetFormatPr defaultRowHeight="11.25"/>
  <sheetData>
    <row r="12" spans="18:21">
      <c r="R12" s="8" t="s">
        <v>132</v>
      </c>
      <c r="S12" s="8" t="s">
        <v>133</v>
      </c>
      <c r="T12" s="8" t="s">
        <v>134</v>
      </c>
      <c r="U12" s="8" t="s">
        <v>135</v>
      </c>
    </row>
    <row r="13" spans="18:21">
      <c r="R13">
        <v>0.26350000000000001</v>
      </c>
      <c r="S13">
        <v>0.26629999999999998</v>
      </c>
      <c r="T13">
        <v>0.26440000000000002</v>
      </c>
      <c r="U13">
        <v>0.26340000000000002</v>
      </c>
    </row>
    <row r="14" spans="18:21">
      <c r="R14">
        <v>0.66310000000000002</v>
      </c>
      <c r="S14">
        <v>0.65839999999999999</v>
      </c>
      <c r="T14">
        <v>0.61209999999999998</v>
      </c>
      <c r="U14">
        <v>0.61929999999999996</v>
      </c>
    </row>
    <row r="15" spans="18:21">
      <c r="R15">
        <v>7.3400000000000007E-2</v>
      </c>
      <c r="S15">
        <v>7.5300000000000006E-2</v>
      </c>
      <c r="T15">
        <v>0.1235</v>
      </c>
      <c r="U15">
        <v>0.1173</v>
      </c>
    </row>
    <row r="16" spans="18:21">
      <c r="R16">
        <v>1.6803898504453001E-4</v>
      </c>
      <c r="S16">
        <v>9.9999999999999998E-13</v>
      </c>
      <c r="T16">
        <v>9.9999999999999998E-13</v>
      </c>
      <c r="U16">
        <v>9.9999999999999998E-13</v>
      </c>
    </row>
    <row r="18" spans="18:21">
      <c r="R18">
        <v>0.1245</v>
      </c>
      <c r="S18">
        <v>0.1208</v>
      </c>
      <c r="T18">
        <v>0.13</v>
      </c>
      <c r="U18">
        <v>0.12330000000000001</v>
      </c>
    </row>
    <row r="19" spans="18:21">
      <c r="R19">
        <v>0.2596</v>
      </c>
      <c r="S19">
        <v>0.25900000000000001</v>
      </c>
      <c r="T19">
        <v>0.25319999999999998</v>
      </c>
      <c r="U19">
        <v>0.2417</v>
      </c>
    </row>
    <row r="20" spans="18:21">
      <c r="R20">
        <v>0.25869999999999999</v>
      </c>
      <c r="S20">
        <v>0.26479999999999998</v>
      </c>
      <c r="T20">
        <v>0.25929999999999997</v>
      </c>
      <c r="U20">
        <v>0.26910000000000001</v>
      </c>
    </row>
    <row r="21" spans="18:21">
      <c r="R21">
        <v>0.25540000000000002</v>
      </c>
      <c r="S21">
        <v>0.25309999999999999</v>
      </c>
      <c r="T21">
        <v>0.25059999999999999</v>
      </c>
      <c r="U21">
        <v>0.26769999999999999</v>
      </c>
    </row>
    <row r="22" spans="18:21">
      <c r="R22">
        <v>4.1799999999999997E-2</v>
      </c>
      <c r="S22">
        <v>4.6800000000000001E-2</v>
      </c>
      <c r="T22">
        <v>4.1300000000000003E-2</v>
      </c>
      <c r="U22">
        <v>4.8500000000000001E-2</v>
      </c>
    </row>
    <row r="23" spans="18:21">
      <c r="R23">
        <v>6.0000000000000102E-2</v>
      </c>
      <c r="S23">
        <v>5.5500000000000098E-2</v>
      </c>
      <c r="T23">
        <v>6.5600000000000006E-2</v>
      </c>
      <c r="U23">
        <v>4.9700000000000001E-2</v>
      </c>
    </row>
    <row r="25" spans="18:21">
      <c r="R25">
        <v>1.67E-2</v>
      </c>
      <c r="S25">
        <v>1.5100000000000001E-2</v>
      </c>
      <c r="T25">
        <v>1.7000000000000001E-2</v>
      </c>
      <c r="U25">
        <v>1.6199999999999999E-2</v>
      </c>
    </row>
    <row r="26" spans="18:21">
      <c r="R26">
        <v>0.39190000000000003</v>
      </c>
      <c r="S26">
        <v>0.45419999999999999</v>
      </c>
      <c r="T26">
        <v>0.40160000000000001</v>
      </c>
      <c r="U26">
        <v>0.39410000000000001</v>
      </c>
    </row>
    <row r="27" spans="18:21">
      <c r="R27">
        <v>1.32E-2</v>
      </c>
      <c r="S27">
        <v>9.4999999999999998E-3</v>
      </c>
      <c r="T27">
        <v>1.4E-2</v>
      </c>
      <c r="U27">
        <v>1.34E-2</v>
      </c>
    </row>
    <row r="28" spans="18:21">
      <c r="R28">
        <v>0.31309999999999999</v>
      </c>
      <c r="S28">
        <v>0.30549999999999999</v>
      </c>
      <c r="T28">
        <v>0.3427</v>
      </c>
      <c r="U28">
        <v>0.32340000000000002</v>
      </c>
    </row>
    <row r="29" spans="18:21">
      <c r="R29">
        <v>0.128</v>
      </c>
      <c r="S29">
        <v>0.1169</v>
      </c>
      <c r="T29">
        <v>0.1203</v>
      </c>
      <c r="U29">
        <v>0.1148</v>
      </c>
    </row>
    <row r="30" spans="18:21">
      <c r="R30">
        <v>8.9999999999999998E-4</v>
      </c>
      <c r="S30">
        <v>1E-3</v>
      </c>
      <c r="T30">
        <v>4.0000000000000002E-4</v>
      </c>
      <c r="U30">
        <v>4.0000000000000002E-4</v>
      </c>
    </row>
    <row r="31" spans="18:21">
      <c r="R31">
        <v>0.13619999999999999</v>
      </c>
      <c r="S31">
        <v>9.7800000000000095E-2</v>
      </c>
      <c r="T31">
        <v>0.104</v>
      </c>
      <c r="U31">
        <v>0.13769999999999999</v>
      </c>
    </row>
    <row r="32" spans="18:21">
      <c r="R32">
        <v>7.7000000000000002E-3</v>
      </c>
      <c r="S32">
        <v>6.4999999999999997E-3</v>
      </c>
      <c r="T32">
        <v>8.2000000000000007E-3</v>
      </c>
      <c r="U32">
        <v>7.4999999999999997E-3</v>
      </c>
    </row>
    <row r="33" spans="18:21">
      <c r="R33">
        <v>0.4461</v>
      </c>
      <c r="S33">
        <v>0.4173</v>
      </c>
      <c r="T33">
        <v>0.42359999999999998</v>
      </c>
      <c r="U33">
        <v>0.40239999999999998</v>
      </c>
    </row>
    <row r="34" spans="18:21">
      <c r="R34">
        <v>0.5242</v>
      </c>
      <c r="S34">
        <v>0.53920000000000001</v>
      </c>
      <c r="T34">
        <v>0.55579999999999996</v>
      </c>
      <c r="U34">
        <v>0.54410000000000003</v>
      </c>
    </row>
    <row r="35" spans="18:21">
      <c r="R35">
        <v>5.8999999999999999E-3</v>
      </c>
      <c r="S35">
        <v>4.1999999999999997E-3</v>
      </c>
      <c r="T35">
        <v>1.4E-3</v>
      </c>
      <c r="U35">
        <v>6.3E-3</v>
      </c>
    </row>
    <row r="36" spans="18:21">
      <c r="R36">
        <v>1.1000000000000001E-3</v>
      </c>
      <c r="S36">
        <v>2.3E-3</v>
      </c>
      <c r="T36">
        <v>1.2999999999999999E-3</v>
      </c>
      <c r="U36">
        <v>2.5999999999999999E-3</v>
      </c>
    </row>
    <row r="37" spans="18:21">
      <c r="R37">
        <v>0</v>
      </c>
      <c r="S37">
        <v>0</v>
      </c>
      <c r="T37">
        <v>0</v>
      </c>
      <c r="U37">
        <v>0</v>
      </c>
    </row>
    <row r="38" spans="18:21">
      <c r="R38">
        <v>1.12E-2</v>
      </c>
      <c r="S38">
        <v>2.9399999999999999E-2</v>
      </c>
      <c r="T38">
        <v>7.4000000000000801E-3</v>
      </c>
      <c r="U38">
        <v>3.4099999999999998E-2</v>
      </c>
    </row>
    <row r="39" spans="18:21">
      <c r="R39">
        <v>3.8E-3</v>
      </c>
      <c r="S39">
        <v>1.1000000000000001E-3</v>
      </c>
      <c r="T39">
        <v>2.3E-3</v>
      </c>
      <c r="U39">
        <v>3.0000000000000001E-3</v>
      </c>
    </row>
    <row r="40" spans="18:21">
      <c r="R40">
        <v>0</v>
      </c>
      <c r="S40">
        <v>0</v>
      </c>
      <c r="T40">
        <v>0</v>
      </c>
      <c r="U40">
        <v>0</v>
      </c>
    </row>
    <row r="41" spans="18:21">
      <c r="R41">
        <v>0</v>
      </c>
      <c r="S41">
        <v>0</v>
      </c>
      <c r="T41">
        <v>0</v>
      </c>
      <c r="U41">
        <v>0</v>
      </c>
    </row>
    <row r="42" spans="18:21">
      <c r="R42">
        <v>0</v>
      </c>
      <c r="S42">
        <v>0</v>
      </c>
      <c r="T42">
        <v>0</v>
      </c>
      <c r="U42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南京上海天津武汉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2020-12-24T03:10:04Z</dcterms:created>
  <dcterms:modified xsi:type="dcterms:W3CDTF">2021-01-07T03:16:33Z</dcterms:modified>
</cp:coreProperties>
</file>